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mro\Desktop\Financial Modeling\"/>
    </mc:Choice>
  </mc:AlternateContent>
  <xr:revisionPtr revIDLastSave="0" documentId="8_{2CF7A519-1BA0-4CE5-8462-B1165CB83B2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ver" sheetId="1" r:id="rId1"/>
    <sheet name="Assumptions" sheetId="2" r:id="rId2"/>
    <sheet name="Historical Data" sheetId="3" r:id="rId3"/>
    <sheet name="3-Statement" sheetId="4" r:id="rId4"/>
    <sheet name="Supporting Schedules" sheetId="7" r:id="rId5"/>
    <sheet name="DCF" sheetId="5" r:id="rId6"/>
    <sheet name="LBO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6" l="1"/>
  <c r="B24" i="6"/>
  <c r="I21" i="6"/>
  <c r="I27" i="5"/>
  <c r="I26" i="5"/>
  <c r="B9" i="6" s="1"/>
  <c r="I7" i="6" s="1"/>
  <c r="I12" i="5"/>
  <c r="I10" i="5"/>
  <c r="I8" i="5"/>
  <c r="B23" i="7"/>
  <c r="B3" i="7"/>
  <c r="D112" i="4"/>
  <c r="C112" i="4"/>
  <c r="B112" i="4"/>
  <c r="E111" i="4"/>
  <c r="D111" i="4"/>
  <c r="C111" i="4"/>
  <c r="B111" i="4"/>
  <c r="D107" i="4"/>
  <c r="D108" i="4" s="1"/>
  <c r="C107" i="4"/>
  <c r="C108" i="4" s="1"/>
  <c r="B107" i="4"/>
  <c r="B108" i="4" s="1"/>
  <c r="D106" i="4"/>
  <c r="C106" i="4"/>
  <c r="B106" i="4"/>
  <c r="I105" i="4"/>
  <c r="H105" i="4"/>
  <c r="G105" i="4"/>
  <c r="F105" i="4"/>
  <c r="E105" i="4"/>
  <c r="D105" i="4"/>
  <c r="C105" i="4"/>
  <c r="B105" i="4"/>
  <c r="I104" i="4"/>
  <c r="H104" i="4"/>
  <c r="G104" i="4"/>
  <c r="F104" i="4"/>
  <c r="E104" i="4"/>
  <c r="D104" i="4"/>
  <c r="C104" i="4"/>
  <c r="B104" i="4"/>
  <c r="D101" i="4"/>
  <c r="C101" i="4"/>
  <c r="B101" i="4"/>
  <c r="D100" i="4"/>
  <c r="C100" i="4"/>
  <c r="B100" i="4"/>
  <c r="D99" i="4"/>
  <c r="C99" i="4"/>
  <c r="B99" i="4"/>
  <c r="D98" i="4"/>
  <c r="C98" i="4"/>
  <c r="B98" i="4"/>
  <c r="D97" i="4"/>
  <c r="C97" i="4"/>
  <c r="B97" i="4"/>
  <c r="D96" i="4"/>
  <c r="C96" i="4"/>
  <c r="B96" i="4"/>
  <c r="D95" i="4"/>
  <c r="C95" i="4"/>
  <c r="B95" i="4"/>
  <c r="D94" i="4"/>
  <c r="D102" i="4" s="1"/>
  <c r="C94" i="4"/>
  <c r="C102" i="4" s="1"/>
  <c r="B94" i="4"/>
  <c r="B102" i="4" s="1"/>
  <c r="D89" i="4"/>
  <c r="C89" i="4"/>
  <c r="B89" i="4"/>
  <c r="D88" i="4"/>
  <c r="C88" i="4"/>
  <c r="B88" i="4"/>
  <c r="D87" i="4"/>
  <c r="D90" i="4" s="1"/>
  <c r="C87" i="4"/>
  <c r="C90" i="4" s="1"/>
  <c r="B87" i="4"/>
  <c r="B90" i="4" s="1"/>
  <c r="D84" i="4"/>
  <c r="C84" i="4"/>
  <c r="B84" i="4"/>
  <c r="D83" i="4"/>
  <c r="C83" i="4"/>
  <c r="B83" i="4"/>
  <c r="D82" i="4"/>
  <c r="C82" i="4"/>
  <c r="B82" i="4"/>
  <c r="D81" i="4"/>
  <c r="C81" i="4"/>
  <c r="B81" i="4"/>
  <c r="D78" i="4"/>
  <c r="C78" i="4"/>
  <c r="B78" i="4"/>
  <c r="D77" i="4"/>
  <c r="C77" i="4"/>
  <c r="B77" i="4"/>
  <c r="D68" i="4"/>
  <c r="C68" i="4"/>
  <c r="B68" i="4"/>
  <c r="D67" i="4"/>
  <c r="E67" i="4" s="1"/>
  <c r="F67" i="4" s="1"/>
  <c r="G67" i="4" s="1"/>
  <c r="H67" i="4" s="1"/>
  <c r="I67" i="4" s="1"/>
  <c r="C67" i="4"/>
  <c r="B67" i="4"/>
  <c r="D66" i="4"/>
  <c r="C66" i="4"/>
  <c r="B66" i="4"/>
  <c r="D65" i="4"/>
  <c r="E65" i="4" s="1"/>
  <c r="F65" i="4" s="1"/>
  <c r="G65" i="4" s="1"/>
  <c r="H65" i="4" s="1"/>
  <c r="I65" i="4" s="1"/>
  <c r="C65" i="4"/>
  <c r="B65" i="4"/>
  <c r="D64" i="4"/>
  <c r="C64" i="4"/>
  <c r="C69" i="4" s="1"/>
  <c r="B64" i="4"/>
  <c r="B69" i="4" s="1"/>
  <c r="D60" i="4"/>
  <c r="E60" i="4" s="1"/>
  <c r="F60" i="4" s="1"/>
  <c r="G60" i="4" s="1"/>
  <c r="H60" i="4" s="1"/>
  <c r="I60" i="4" s="1"/>
  <c r="C60" i="4"/>
  <c r="B60" i="4"/>
  <c r="D59" i="4"/>
  <c r="C59" i="4"/>
  <c r="B59" i="4"/>
  <c r="D58" i="4"/>
  <c r="E58" i="4" s="1"/>
  <c r="F58" i="4" s="1"/>
  <c r="G58" i="4" s="1"/>
  <c r="H58" i="4" s="1"/>
  <c r="I58" i="4" s="1"/>
  <c r="C58" i="4"/>
  <c r="B58" i="4"/>
  <c r="D57" i="4"/>
  <c r="C57" i="4"/>
  <c r="B57" i="4"/>
  <c r="D56" i="4"/>
  <c r="D61" i="4" s="1"/>
  <c r="C56" i="4"/>
  <c r="C61" i="4" s="1"/>
  <c r="B56" i="4"/>
  <c r="B61" i="4" s="1"/>
  <c r="D52" i="4"/>
  <c r="E52" i="4" s="1"/>
  <c r="F52" i="4" s="1"/>
  <c r="G52" i="4" s="1"/>
  <c r="H52" i="4" s="1"/>
  <c r="I52" i="4" s="1"/>
  <c r="C52" i="4"/>
  <c r="B52" i="4"/>
  <c r="D51" i="4"/>
  <c r="C51" i="4"/>
  <c r="C53" i="4" s="1"/>
  <c r="C71" i="4" s="1"/>
  <c r="B51" i="4"/>
  <c r="B53" i="4" s="1"/>
  <c r="B71" i="4" s="1"/>
  <c r="D45" i="4"/>
  <c r="I28" i="5" s="1"/>
  <c r="C45" i="4"/>
  <c r="B45" i="4"/>
  <c r="D44" i="4"/>
  <c r="C44" i="4"/>
  <c r="B44" i="4"/>
  <c r="D43" i="4"/>
  <c r="E43" i="4" s="1"/>
  <c r="F43" i="4" s="1"/>
  <c r="G43" i="4" s="1"/>
  <c r="H43" i="4" s="1"/>
  <c r="I43" i="4" s="1"/>
  <c r="C43" i="4"/>
  <c r="B43" i="4"/>
  <c r="B46" i="4" s="1"/>
  <c r="D42" i="4"/>
  <c r="D46" i="4" s="1"/>
  <c r="C42" i="4"/>
  <c r="C46" i="4" s="1"/>
  <c r="B42" i="4"/>
  <c r="D41" i="4"/>
  <c r="C41" i="4"/>
  <c r="B41" i="4"/>
  <c r="D40" i="4"/>
  <c r="C40" i="4"/>
  <c r="B40" i="4"/>
  <c r="D39" i="4"/>
  <c r="C39" i="4"/>
  <c r="B39" i="4"/>
  <c r="D35" i="4"/>
  <c r="E35" i="4" s="1"/>
  <c r="F35" i="4" s="1"/>
  <c r="G35" i="4" s="1"/>
  <c r="H35" i="4" s="1"/>
  <c r="I35" i="4" s="1"/>
  <c r="C35" i="4"/>
  <c r="B35" i="4"/>
  <c r="D34" i="4"/>
  <c r="C34" i="4"/>
  <c r="B34" i="4"/>
  <c r="D33" i="4"/>
  <c r="C33" i="4"/>
  <c r="B33" i="4"/>
  <c r="D32" i="4"/>
  <c r="E32" i="4" s="1"/>
  <c r="F32" i="4" s="1"/>
  <c r="G32" i="4" s="1"/>
  <c r="H32" i="4" s="1"/>
  <c r="I32" i="4" s="1"/>
  <c r="C32" i="4"/>
  <c r="B32" i="4"/>
  <c r="D31" i="4"/>
  <c r="C31" i="4"/>
  <c r="B31" i="4"/>
  <c r="D30" i="4"/>
  <c r="E30" i="4" s="1"/>
  <c r="F30" i="4" s="1"/>
  <c r="G30" i="4" s="1"/>
  <c r="H30" i="4" s="1"/>
  <c r="I30" i="4" s="1"/>
  <c r="C30" i="4"/>
  <c r="B30" i="4"/>
  <c r="D29" i="4"/>
  <c r="B9" i="7" s="1"/>
  <c r="C29" i="4"/>
  <c r="B29" i="4"/>
  <c r="D28" i="4"/>
  <c r="C28" i="4"/>
  <c r="C36" i="4" s="1"/>
  <c r="B28" i="4"/>
  <c r="B36" i="4" s="1"/>
  <c r="B48" i="4" s="1"/>
  <c r="B72" i="4" s="1"/>
  <c r="D19" i="4"/>
  <c r="C19" i="4"/>
  <c r="B19" i="4"/>
  <c r="D17" i="4"/>
  <c r="C17" i="4"/>
  <c r="B17" i="4"/>
  <c r="D16" i="4"/>
  <c r="C16" i="4"/>
  <c r="B16" i="4"/>
  <c r="D13" i="4"/>
  <c r="B38" i="6" s="1"/>
  <c r="C13" i="4"/>
  <c r="B13" i="4"/>
  <c r="D10" i="4"/>
  <c r="C10" i="4"/>
  <c r="B10" i="4"/>
  <c r="D9" i="4"/>
  <c r="C9" i="4"/>
  <c r="B9" i="4"/>
  <c r="D7" i="4"/>
  <c r="C7" i="4"/>
  <c r="B7" i="4"/>
  <c r="D6" i="4"/>
  <c r="C6" i="4"/>
  <c r="B6" i="4"/>
  <c r="B8" i="4" s="1"/>
  <c r="B11" i="4" s="1"/>
  <c r="D94" i="3"/>
  <c r="C94" i="3"/>
  <c r="B94" i="3"/>
  <c r="D88" i="3"/>
  <c r="C88" i="3"/>
  <c r="B88" i="3"/>
  <c r="D76" i="3"/>
  <c r="C76" i="3"/>
  <c r="B76" i="3"/>
  <c r="D65" i="3"/>
  <c r="D53" i="3"/>
  <c r="C53" i="3"/>
  <c r="B53" i="3"/>
  <c r="D46" i="3"/>
  <c r="C46" i="3"/>
  <c r="B46" i="3"/>
  <c r="D42" i="3"/>
  <c r="C42" i="3"/>
  <c r="C60" i="3" s="1"/>
  <c r="B42" i="3"/>
  <c r="B60" i="3" s="1"/>
  <c r="D30" i="3"/>
  <c r="C30" i="3"/>
  <c r="B30" i="3"/>
  <c r="D20" i="3"/>
  <c r="C20" i="3"/>
  <c r="C39" i="3" s="1"/>
  <c r="B20" i="3"/>
  <c r="B39" i="3" s="1"/>
  <c r="D15" i="3"/>
  <c r="D5" i="3"/>
  <c r="D8" i="3" s="1"/>
  <c r="D10" i="3" s="1"/>
  <c r="C5" i="3"/>
  <c r="C8" i="3" s="1"/>
  <c r="C10" i="3" s="1"/>
  <c r="C13" i="3" s="1"/>
  <c r="B5" i="3"/>
  <c r="B8" i="3" s="1"/>
  <c r="B10" i="3" s="1"/>
  <c r="B13" i="3" s="1"/>
  <c r="D45" i="2"/>
  <c r="C45" i="2"/>
  <c r="B45" i="2"/>
  <c r="D44" i="2"/>
  <c r="C44" i="2"/>
  <c r="B44" i="2"/>
  <c r="D43" i="2"/>
  <c r="C43" i="2"/>
  <c r="B43" i="2"/>
  <c r="D42" i="2"/>
  <c r="C42" i="2"/>
  <c r="B42" i="2"/>
  <c r="D41" i="2"/>
  <c r="C41" i="2"/>
  <c r="B41" i="2"/>
  <c r="D40" i="2"/>
  <c r="C40" i="2"/>
  <c r="B40" i="2"/>
  <c r="D39" i="2"/>
  <c r="C39" i="2"/>
  <c r="B39" i="2"/>
  <c r="D38" i="2"/>
  <c r="C38" i="2"/>
  <c r="B38" i="2"/>
  <c r="D37" i="2"/>
  <c r="C37" i="2"/>
  <c r="B37" i="2"/>
  <c r="F32" i="2"/>
  <c r="E32" i="2"/>
  <c r="D32" i="2"/>
  <c r="C32" i="2"/>
  <c r="B32" i="2"/>
  <c r="F31" i="2"/>
  <c r="E31" i="2"/>
  <c r="D31" i="2"/>
  <c r="C31" i="2"/>
  <c r="B31" i="2"/>
  <c r="F29" i="2"/>
  <c r="E29" i="2"/>
  <c r="D29" i="2"/>
  <c r="C29" i="2"/>
  <c r="B29" i="2"/>
  <c r="F26" i="2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I14" i="5" l="1"/>
  <c r="I15" i="5" s="1"/>
  <c r="I16" i="5" s="1"/>
  <c r="I13" i="5"/>
  <c r="B5" i="7"/>
  <c r="B31" i="7" s="1"/>
  <c r="D69" i="4"/>
  <c r="E64" i="4"/>
  <c r="D53" i="4"/>
  <c r="D71" i="4" s="1"/>
  <c r="E44" i="4"/>
  <c r="F44" i="4" s="1"/>
  <c r="G44" i="4" s="1"/>
  <c r="H44" i="4" s="1"/>
  <c r="I44" i="4" s="1"/>
  <c r="I29" i="5"/>
  <c r="B10" i="6" s="1"/>
  <c r="B15" i="6" s="1"/>
  <c r="I13" i="6" s="1"/>
  <c r="B11" i="7"/>
  <c r="B32" i="7" s="1"/>
  <c r="B16" i="7"/>
  <c r="D36" i="4"/>
  <c r="D48" i="4" s="1"/>
  <c r="D72" i="4" s="1"/>
  <c r="B35" i="6"/>
  <c r="D8" i="4"/>
  <c r="D11" i="4" s="1"/>
  <c r="D23" i="4"/>
  <c r="E6" i="4"/>
  <c r="C8" i="4"/>
  <c r="C11" i="4" s="1"/>
  <c r="C23" i="4"/>
  <c r="B14" i="4"/>
  <c r="B12" i="4"/>
  <c r="D72" i="3"/>
  <c r="D78" i="3" s="1"/>
  <c r="D96" i="3" s="1"/>
  <c r="D100" i="3" s="1"/>
  <c r="D76" i="4"/>
  <c r="D85" i="4" s="1"/>
  <c r="D92" i="4" s="1"/>
  <c r="D110" i="4" s="1"/>
  <c r="D113" i="4" s="1"/>
  <c r="D114" i="4" s="1"/>
  <c r="C65" i="3"/>
  <c r="C15" i="3"/>
  <c r="B65" i="3"/>
  <c r="B15" i="3"/>
  <c r="C18" i="2"/>
  <c r="D18" i="2"/>
  <c r="E18" i="2"/>
  <c r="F18" i="2"/>
  <c r="B18" i="2"/>
  <c r="B20" i="2"/>
  <c r="C20" i="2"/>
  <c r="D20" i="2"/>
  <c r="E20" i="2"/>
  <c r="F20" i="2"/>
  <c r="C48" i="4"/>
  <c r="C72" i="4" s="1"/>
  <c r="F64" i="4" l="1"/>
  <c r="B18" i="7"/>
  <c r="B33" i="7" s="1"/>
  <c r="B34" i="7" s="1"/>
  <c r="E13" i="4" s="1"/>
  <c r="D14" i="4"/>
  <c r="B36" i="6"/>
  <c r="B37" i="6" s="1"/>
  <c r="B6" i="6"/>
  <c r="D12" i="4"/>
  <c r="E8" i="4"/>
  <c r="E9" i="4"/>
  <c r="E10" i="4"/>
  <c r="E16" i="4"/>
  <c r="E17" i="4"/>
  <c r="E23" i="4"/>
  <c r="B20" i="5" s="1"/>
  <c r="E34" i="4"/>
  <c r="E42" i="4"/>
  <c r="E56" i="4"/>
  <c r="E57" i="4"/>
  <c r="E80" i="4" s="1"/>
  <c r="E106" i="4"/>
  <c r="E82" i="4"/>
  <c r="E94" i="4"/>
  <c r="B6" i="5"/>
  <c r="C35" i="6"/>
  <c r="E83" i="4"/>
  <c r="E95" i="4"/>
  <c r="B4" i="7"/>
  <c r="B6" i="7" s="1"/>
  <c r="E31" i="4" s="1"/>
  <c r="C3" i="7" s="1"/>
  <c r="B17" i="7"/>
  <c r="F6" i="4"/>
  <c r="E40" i="4"/>
  <c r="C14" i="4"/>
  <c r="C12" i="4"/>
  <c r="B15" i="4"/>
  <c r="B18" i="4"/>
  <c r="C76" i="4"/>
  <c r="C85" i="4" s="1"/>
  <c r="C92" i="4" s="1"/>
  <c r="C110" i="4" s="1"/>
  <c r="C113" i="4" s="1"/>
  <c r="C114" i="4" s="1"/>
  <c r="C72" i="3"/>
  <c r="C78" i="3" s="1"/>
  <c r="C96" i="3" s="1"/>
  <c r="C100" i="3" s="1"/>
  <c r="B72" i="3"/>
  <c r="B78" i="3" s="1"/>
  <c r="B96" i="3" s="1"/>
  <c r="B100" i="3" s="1"/>
  <c r="B76" i="4"/>
  <c r="B85" i="4" s="1"/>
  <c r="B92" i="4" s="1"/>
  <c r="B110" i="4" s="1"/>
  <c r="B113" i="4" s="1"/>
  <c r="B114" i="4" s="1"/>
  <c r="C27" i="5"/>
  <c r="D27" i="5"/>
  <c r="E27" i="5"/>
  <c r="B27" i="5"/>
  <c r="F27" i="5"/>
  <c r="G64" i="4" l="1"/>
  <c r="D15" i="4"/>
  <c r="D18" i="4"/>
  <c r="B39" i="6"/>
  <c r="B40" i="6" s="1"/>
  <c r="B8" i="6"/>
  <c r="B11" i="6" s="1"/>
  <c r="I11" i="6"/>
  <c r="I12" i="6"/>
  <c r="E11" i="4"/>
  <c r="E7" i="4"/>
  <c r="B38" i="7"/>
  <c r="B40" i="7" s="1"/>
  <c r="E81" i="4"/>
  <c r="F99" i="4"/>
  <c r="E100" i="4"/>
  <c r="E99" i="4"/>
  <c r="F100" i="4"/>
  <c r="E79" i="4"/>
  <c r="B26" i="7"/>
  <c r="C53" i="6"/>
  <c r="C48" i="6"/>
  <c r="B25" i="7"/>
  <c r="B28" i="7" s="1"/>
  <c r="B10" i="7"/>
  <c r="B13" i="7" s="1"/>
  <c r="E29" i="4" s="1"/>
  <c r="C9" i="7" s="1"/>
  <c r="B13" i="5"/>
  <c r="C52" i="6"/>
  <c r="E102" i="4"/>
  <c r="B12" i="5"/>
  <c r="B14" i="5" s="1"/>
  <c r="C51" i="6"/>
  <c r="C5" i="7"/>
  <c r="E66" i="4"/>
  <c r="E59" i="4"/>
  <c r="E61" i="4" s="1"/>
  <c r="C23" i="7"/>
  <c r="F9" i="4"/>
  <c r="F40" i="4"/>
  <c r="F88" i="4" s="1"/>
  <c r="G6" i="4"/>
  <c r="F8" i="4"/>
  <c r="F10" i="4"/>
  <c r="F16" i="4"/>
  <c r="F17" i="4"/>
  <c r="F23" i="4"/>
  <c r="C20" i="5" s="1"/>
  <c r="F34" i="4"/>
  <c r="F42" i="4"/>
  <c r="F56" i="4"/>
  <c r="F57" i="4"/>
  <c r="F80" i="4" s="1"/>
  <c r="F106" i="4"/>
  <c r="F95" i="4"/>
  <c r="C6" i="5"/>
  <c r="D35" i="6"/>
  <c r="F82" i="4"/>
  <c r="F83" i="4"/>
  <c r="C4" i="7"/>
  <c r="F94" i="4"/>
  <c r="C17" i="7"/>
  <c r="C24" i="7" s="1"/>
  <c r="C15" i="4"/>
  <c r="C18" i="4"/>
  <c r="B20" i="4"/>
  <c r="B21" i="4"/>
  <c r="B22" i="4" s="1"/>
  <c r="C38" i="6"/>
  <c r="E77" i="4"/>
  <c r="B11" i="5" s="1"/>
  <c r="E88" i="4"/>
  <c r="B24" i="7"/>
  <c r="B20" i="7"/>
  <c r="H64" i="4" l="1"/>
  <c r="D20" i="4"/>
  <c r="D21" i="4"/>
  <c r="D22" i="4" s="1"/>
  <c r="B13" i="6"/>
  <c r="I8" i="6" s="1"/>
  <c r="I6" i="6"/>
  <c r="I9" i="6" s="1"/>
  <c r="I14" i="6" s="1"/>
  <c r="C67" i="6"/>
  <c r="C68" i="6"/>
  <c r="C57" i="6" s="1"/>
  <c r="B70" i="6"/>
  <c r="B77" i="6" s="1"/>
  <c r="I30" i="6"/>
  <c r="C72" i="6"/>
  <c r="B74" i="6"/>
  <c r="E14" i="4"/>
  <c r="C36" i="6"/>
  <c r="E12" i="4"/>
  <c r="E68" i="4"/>
  <c r="E39" i="4"/>
  <c r="B43" i="7"/>
  <c r="E33" i="4" s="1"/>
  <c r="C37" i="7"/>
  <c r="C11" i="7"/>
  <c r="C32" i="7" s="1"/>
  <c r="G8" i="4"/>
  <c r="G9" i="4"/>
  <c r="G10" i="4"/>
  <c r="G16" i="4"/>
  <c r="G17" i="4"/>
  <c r="G23" i="4"/>
  <c r="D20" i="5" s="1"/>
  <c r="G34" i="4"/>
  <c r="G42" i="4"/>
  <c r="G56" i="4"/>
  <c r="G57" i="4"/>
  <c r="G80" i="4" s="1"/>
  <c r="G106" i="4"/>
  <c r="G94" i="4"/>
  <c r="D4" i="7"/>
  <c r="D6" i="5"/>
  <c r="E35" i="6"/>
  <c r="G95" i="4"/>
  <c r="G82" i="4"/>
  <c r="G83" i="4"/>
  <c r="D17" i="7"/>
  <c r="D24" i="7" s="1"/>
  <c r="H6" i="4"/>
  <c r="G40" i="4"/>
  <c r="G88" i="4" s="1"/>
  <c r="F11" i="4"/>
  <c r="F7" i="4"/>
  <c r="F81" i="4"/>
  <c r="C38" i="7"/>
  <c r="G99" i="4"/>
  <c r="G100" i="4"/>
  <c r="F79" i="4"/>
  <c r="C26" i="7"/>
  <c r="D53" i="6"/>
  <c r="D51" i="6"/>
  <c r="C12" i="5"/>
  <c r="C25" i="7"/>
  <c r="C28" i="7" s="1"/>
  <c r="D48" i="6"/>
  <c r="C10" i="7"/>
  <c r="C13" i="7" s="1"/>
  <c r="F29" i="4" s="1"/>
  <c r="D9" i="7" s="1"/>
  <c r="F102" i="4"/>
  <c r="C13" i="5"/>
  <c r="D52" i="6"/>
  <c r="C20" i="4"/>
  <c r="C21" i="4"/>
  <c r="C22" i="4" s="1"/>
  <c r="C16" i="7"/>
  <c r="E28" i="4"/>
  <c r="E36" i="4" s="1"/>
  <c r="C31" i="7"/>
  <c r="C6" i="7"/>
  <c r="F31" i="4" s="1"/>
  <c r="D3" i="7" s="1"/>
  <c r="I64" i="4" l="1"/>
  <c r="C71" i="6"/>
  <c r="C76" i="6"/>
  <c r="C75" i="6"/>
  <c r="C47" i="6" s="1"/>
  <c r="E15" i="4"/>
  <c r="B21" i="5" s="1"/>
  <c r="E18" i="4"/>
  <c r="B7" i="5"/>
  <c r="C39" i="6"/>
  <c r="C37" i="6"/>
  <c r="C45" i="6"/>
  <c r="E69" i="4"/>
  <c r="E89" i="4"/>
  <c r="E87" i="4"/>
  <c r="E90" i="4" s="1"/>
  <c r="D11" i="7"/>
  <c r="D32" i="7" s="1"/>
  <c r="G11" i="4"/>
  <c r="G7" i="4"/>
  <c r="G81" i="4"/>
  <c r="D38" i="7"/>
  <c r="H99" i="4"/>
  <c r="H100" i="4"/>
  <c r="G79" i="4"/>
  <c r="D26" i="7"/>
  <c r="E53" i="6"/>
  <c r="D10" i="7"/>
  <c r="D13" i="7" s="1"/>
  <c r="G29" i="4" s="1"/>
  <c r="E9" i="7" s="1"/>
  <c r="G102" i="4"/>
  <c r="D13" i="5"/>
  <c r="E52" i="6"/>
  <c r="E51" i="6"/>
  <c r="D12" i="5"/>
  <c r="D14" i="5" s="1"/>
  <c r="D25" i="7"/>
  <c r="E48" i="6"/>
  <c r="H40" i="4"/>
  <c r="H88" i="4" s="1"/>
  <c r="I6" i="4"/>
  <c r="H8" i="4"/>
  <c r="H9" i="4"/>
  <c r="H10" i="4"/>
  <c r="H16" i="4"/>
  <c r="H17" i="4"/>
  <c r="H23" i="4"/>
  <c r="E20" i="5" s="1"/>
  <c r="H34" i="4"/>
  <c r="H42" i="4"/>
  <c r="H56" i="4"/>
  <c r="H57" i="4"/>
  <c r="H80" i="4" s="1"/>
  <c r="H106" i="4"/>
  <c r="H82" i="4"/>
  <c r="E6" i="5"/>
  <c r="F35" i="6"/>
  <c r="H83" i="4"/>
  <c r="H94" i="4"/>
  <c r="H95" i="4"/>
  <c r="E4" i="7"/>
  <c r="E17" i="7"/>
  <c r="E24" i="7" s="1"/>
  <c r="D36" i="6"/>
  <c r="F12" i="4"/>
  <c r="F39" i="4"/>
  <c r="F68" i="4"/>
  <c r="F89" i="4" s="1"/>
  <c r="D23" i="7"/>
  <c r="F66" i="4"/>
  <c r="F69" i="4" s="1"/>
  <c r="F59" i="4"/>
  <c r="F61" i="4" s="1"/>
  <c r="C18" i="7"/>
  <c r="C33" i="7" s="1"/>
  <c r="C34" i="7" s="1"/>
  <c r="F13" i="4" s="1"/>
  <c r="F14" i="4" s="1"/>
  <c r="C20" i="7"/>
  <c r="D6" i="7"/>
  <c r="G31" i="4" s="1"/>
  <c r="E3" i="7" s="1"/>
  <c r="D5" i="7"/>
  <c r="D31" i="7" s="1"/>
  <c r="C40" i="7"/>
  <c r="C14" i="5"/>
  <c r="I26" i="6"/>
  <c r="I15" i="6"/>
  <c r="I16" i="6" s="1"/>
  <c r="C78" i="6" l="1"/>
  <c r="C46" i="6"/>
  <c r="C49" i="6" s="1"/>
  <c r="C50" i="6" s="1"/>
  <c r="C55" i="6" s="1"/>
  <c r="E19" i="4"/>
  <c r="E21" i="4"/>
  <c r="E76" i="4"/>
  <c r="C40" i="6"/>
  <c r="B15" i="5"/>
  <c r="C54" i="6"/>
  <c r="E11" i="7"/>
  <c r="E32" i="7" s="1"/>
  <c r="E13" i="7"/>
  <c r="H29" i="4" s="1"/>
  <c r="F9" i="7" s="1"/>
  <c r="E36" i="6"/>
  <c r="G12" i="4"/>
  <c r="G68" i="4"/>
  <c r="G89" i="4" s="1"/>
  <c r="G39" i="4"/>
  <c r="I8" i="4"/>
  <c r="I9" i="4"/>
  <c r="I10" i="4"/>
  <c r="I16" i="4"/>
  <c r="I17" i="4"/>
  <c r="I23" i="4"/>
  <c r="F20" i="5" s="1"/>
  <c r="I34" i="4"/>
  <c r="I42" i="4"/>
  <c r="I56" i="4"/>
  <c r="I57" i="4"/>
  <c r="I80" i="4" s="1"/>
  <c r="I106" i="4"/>
  <c r="I95" i="4"/>
  <c r="F6" i="5"/>
  <c r="G35" i="6"/>
  <c r="I82" i="4"/>
  <c r="I83" i="4"/>
  <c r="F4" i="7"/>
  <c r="I94" i="4"/>
  <c r="F17" i="7"/>
  <c r="F24" i="7" s="1"/>
  <c r="I40" i="4"/>
  <c r="I88" i="4" s="1"/>
  <c r="H11" i="4"/>
  <c r="H7" i="4"/>
  <c r="H81" i="4"/>
  <c r="E38" i="7"/>
  <c r="I99" i="4"/>
  <c r="I100" i="4"/>
  <c r="H79" i="4"/>
  <c r="E26" i="7"/>
  <c r="F53" i="6"/>
  <c r="E25" i="7"/>
  <c r="F48" i="6"/>
  <c r="H102" i="4"/>
  <c r="E10" i="7"/>
  <c r="E13" i="5"/>
  <c r="F52" i="6"/>
  <c r="E12" i="5"/>
  <c r="E14" i="5" s="1"/>
  <c r="F51" i="6"/>
  <c r="F15" i="4"/>
  <c r="C21" i="5" s="1"/>
  <c r="F18" i="4"/>
  <c r="C7" i="5"/>
  <c r="D39" i="6"/>
  <c r="D37" i="6"/>
  <c r="D45" i="6"/>
  <c r="F87" i="4"/>
  <c r="F90" i="4" s="1"/>
  <c r="D38" i="6"/>
  <c r="F77" i="4"/>
  <c r="C11" i="5" s="1"/>
  <c r="F28" i="4"/>
  <c r="D16" i="7"/>
  <c r="E5" i="7"/>
  <c r="E31" i="7" s="1"/>
  <c r="E6" i="7"/>
  <c r="H31" i="4" s="1"/>
  <c r="F3" i="7" s="1"/>
  <c r="D37" i="7"/>
  <c r="D40" i="7" s="1"/>
  <c r="C43" i="7"/>
  <c r="F33" i="4" s="1"/>
  <c r="D28" i="7"/>
  <c r="E20" i="4" l="1"/>
  <c r="B10" i="5" s="1"/>
  <c r="B8" i="5" s="1"/>
  <c r="B9" i="5" s="1"/>
  <c r="B16" i="5" s="1"/>
  <c r="E41" i="4"/>
  <c r="E84" i="4" s="1"/>
  <c r="E85" i="4" s="1"/>
  <c r="E92" i="4" s="1"/>
  <c r="E110" i="4" s="1"/>
  <c r="E113" i="4" s="1"/>
  <c r="E51" i="4"/>
  <c r="E22" i="4"/>
  <c r="E107" i="4"/>
  <c r="E108" i="4" s="1"/>
  <c r="B25" i="5"/>
  <c r="B17" i="5"/>
  <c r="F11" i="7"/>
  <c r="F32" i="7" s="1"/>
  <c r="E37" i="6"/>
  <c r="E45" i="6"/>
  <c r="G87" i="4"/>
  <c r="G90" i="4" s="1"/>
  <c r="I11" i="4"/>
  <c r="I7" i="4"/>
  <c r="I81" i="4"/>
  <c r="F38" i="7"/>
  <c r="I79" i="4"/>
  <c r="G53" i="6"/>
  <c r="F26" i="7"/>
  <c r="G51" i="6"/>
  <c r="F12" i="5"/>
  <c r="F25" i="7"/>
  <c r="G48" i="6"/>
  <c r="F10" i="7"/>
  <c r="F13" i="7" s="1"/>
  <c r="I29" i="4" s="1"/>
  <c r="I102" i="4"/>
  <c r="F13" i="5"/>
  <c r="G52" i="6"/>
  <c r="F36" i="6"/>
  <c r="H12" i="4"/>
  <c r="H68" i="4"/>
  <c r="H89" i="4" s="1"/>
  <c r="H39" i="4"/>
  <c r="F19" i="4"/>
  <c r="F21" i="4"/>
  <c r="F76" i="4"/>
  <c r="D40" i="6"/>
  <c r="C15" i="5"/>
  <c r="D54" i="6"/>
  <c r="D18" i="7"/>
  <c r="D33" i="7" s="1"/>
  <c r="D34" i="7" s="1"/>
  <c r="G13" i="4" s="1"/>
  <c r="D20" i="7"/>
  <c r="F5" i="7"/>
  <c r="F31" i="7" s="1"/>
  <c r="F6" i="7"/>
  <c r="I31" i="4" s="1"/>
  <c r="E37" i="7"/>
  <c r="E40" i="7" s="1"/>
  <c r="D43" i="7"/>
  <c r="G33" i="4" s="1"/>
  <c r="G66" i="4"/>
  <c r="G69" i="4" s="1"/>
  <c r="G59" i="4"/>
  <c r="G61" i="4" s="1"/>
  <c r="E23" i="7"/>
  <c r="E28" i="7" s="1"/>
  <c r="F36" i="4"/>
  <c r="C79" i="6"/>
  <c r="C58" i="6"/>
  <c r="C59" i="6" s="1"/>
  <c r="C73" i="6" s="1"/>
  <c r="C74" i="6" s="1"/>
  <c r="D72" i="6" s="1"/>
  <c r="E53" i="4" l="1"/>
  <c r="E71" i="4" s="1"/>
  <c r="F51" i="4"/>
  <c r="B28" i="5"/>
  <c r="D15" i="5"/>
  <c r="E54" i="6"/>
  <c r="I12" i="4"/>
  <c r="G36" i="6"/>
  <c r="I68" i="4"/>
  <c r="I89" i="4" s="1"/>
  <c r="I39" i="4"/>
  <c r="F37" i="6"/>
  <c r="F45" i="6"/>
  <c r="H87" i="4"/>
  <c r="H90" i="4" s="1"/>
  <c r="F20" i="4"/>
  <c r="C10" i="5" s="1"/>
  <c r="C8" i="5" s="1"/>
  <c r="C9" i="5" s="1"/>
  <c r="C16" i="5" s="1"/>
  <c r="F41" i="4"/>
  <c r="F84" i="4" s="1"/>
  <c r="F85" i="4" s="1"/>
  <c r="F92" i="4" s="1"/>
  <c r="F110" i="4" s="1"/>
  <c r="F22" i="4"/>
  <c r="F107" i="4"/>
  <c r="F108" i="4" s="1"/>
  <c r="G14" i="4"/>
  <c r="G77" i="4"/>
  <c r="D11" i="5" s="1"/>
  <c r="E38" i="6"/>
  <c r="G28" i="4"/>
  <c r="G36" i="4" s="1"/>
  <c r="E16" i="7"/>
  <c r="E43" i="7"/>
  <c r="H33" i="4" s="1"/>
  <c r="F37" i="7"/>
  <c r="F40" i="7" s="1"/>
  <c r="F43" i="7" s="1"/>
  <c r="I33" i="4" s="1"/>
  <c r="H59" i="4"/>
  <c r="H61" i="4" s="1"/>
  <c r="H66" i="4"/>
  <c r="H69" i="4" s="1"/>
  <c r="F23" i="7"/>
  <c r="F28" i="7" s="1"/>
  <c r="D75" i="6"/>
  <c r="D47" i="6" s="1"/>
  <c r="C69" i="6"/>
  <c r="C70" i="6" s="1"/>
  <c r="C60" i="6"/>
  <c r="C61" i="6" s="1"/>
  <c r="D56" i="6" s="1"/>
  <c r="F14" i="5"/>
  <c r="E45" i="4"/>
  <c r="E114" i="4" s="1"/>
  <c r="F53" i="4" l="1"/>
  <c r="F71" i="4" s="1"/>
  <c r="G37" i="6"/>
  <c r="G45" i="6"/>
  <c r="I20" i="6"/>
  <c r="I22" i="6" s="1"/>
  <c r="I87" i="4"/>
  <c r="I90" i="4" s="1"/>
  <c r="E15" i="5"/>
  <c r="F54" i="6"/>
  <c r="E39" i="6"/>
  <c r="D7" i="5"/>
  <c r="G18" i="4"/>
  <c r="G15" i="4"/>
  <c r="D21" i="5" s="1"/>
  <c r="E18" i="7"/>
  <c r="I59" i="4"/>
  <c r="I61" i="4" s="1"/>
  <c r="I66" i="4"/>
  <c r="I69" i="4" s="1"/>
  <c r="C77" i="6"/>
  <c r="D67" i="6"/>
  <c r="E46" i="4"/>
  <c r="E48" i="4" s="1"/>
  <c r="E72" i="4" s="1"/>
  <c r="F111" i="4"/>
  <c r="F113" i="4" s="1"/>
  <c r="C25" i="5"/>
  <c r="C17" i="5"/>
  <c r="F45" i="4"/>
  <c r="F114" i="4" s="1"/>
  <c r="G54" i="6" l="1"/>
  <c r="F15" i="5"/>
  <c r="E40" i="6"/>
  <c r="G19" i="4"/>
  <c r="G21" i="4"/>
  <c r="G76" i="4"/>
  <c r="D68" i="6"/>
  <c r="D57" i="6" s="1"/>
  <c r="D71" i="6"/>
  <c r="D76" i="6"/>
  <c r="C28" i="5"/>
  <c r="F46" i="4"/>
  <c r="F48" i="4" s="1"/>
  <c r="F72" i="4" s="1"/>
  <c r="G111" i="4"/>
  <c r="E33" i="7"/>
  <c r="E34" i="7" s="1"/>
  <c r="H13" i="4" s="1"/>
  <c r="E20" i="7"/>
  <c r="G20" i="4" l="1"/>
  <c r="D10" i="5" s="1"/>
  <c r="D8" i="5" s="1"/>
  <c r="D9" i="5" s="1"/>
  <c r="D16" i="5" s="1"/>
  <c r="G41" i="4"/>
  <c r="G84" i="4" s="1"/>
  <c r="G85" i="4" s="1"/>
  <c r="G92" i="4" s="1"/>
  <c r="G110" i="4" s="1"/>
  <c r="G113" i="4" s="1"/>
  <c r="G22" i="4"/>
  <c r="G107" i="4"/>
  <c r="D78" i="6"/>
  <c r="D46" i="6"/>
  <c r="D49" i="6" s="1"/>
  <c r="H14" i="4"/>
  <c r="F38" i="6"/>
  <c r="H77" i="4"/>
  <c r="E11" i="5" s="1"/>
  <c r="F16" i="7"/>
  <c r="H28" i="4"/>
  <c r="H36" i="4" s="1"/>
  <c r="D25" i="5" l="1"/>
  <c r="D17" i="5"/>
  <c r="D50" i="6"/>
  <c r="D55" i="6" s="1"/>
  <c r="F39" i="6"/>
  <c r="E7" i="5"/>
  <c r="H18" i="4"/>
  <c r="H15" i="4"/>
  <c r="E21" i="5" s="1"/>
  <c r="F18" i="7"/>
  <c r="D79" i="6"/>
  <c r="G45" i="4"/>
  <c r="G114" i="4" s="1"/>
  <c r="G108" i="4"/>
  <c r="G51" i="4"/>
  <c r="D28" i="5" l="1"/>
  <c r="D58" i="6"/>
  <c r="D59" i="6"/>
  <c r="D73" i="6" s="1"/>
  <c r="D74" i="6" s="1"/>
  <c r="E72" i="6" s="1"/>
  <c r="F40" i="6"/>
  <c r="H19" i="4"/>
  <c r="H21" i="4"/>
  <c r="H76" i="4"/>
  <c r="G46" i="4"/>
  <c r="G48" i="4" s="1"/>
  <c r="H111" i="4"/>
  <c r="G53" i="4"/>
  <c r="G71" i="4" s="1"/>
  <c r="F33" i="7"/>
  <c r="F34" i="7" s="1"/>
  <c r="I13" i="4" s="1"/>
  <c r="F20" i="7"/>
  <c r="I28" i="4" s="1"/>
  <c r="I36" i="4" s="1"/>
  <c r="D60" i="6" l="1"/>
  <c r="D61" i="6" s="1"/>
  <c r="E56" i="6" s="1"/>
  <c r="D69" i="6"/>
  <c r="D70" i="6" s="1"/>
  <c r="E75" i="6"/>
  <c r="E47" i="6" s="1"/>
  <c r="H20" i="4"/>
  <c r="E10" i="5" s="1"/>
  <c r="E8" i="5" s="1"/>
  <c r="E9" i="5" s="1"/>
  <c r="E16" i="5" s="1"/>
  <c r="H84" i="4"/>
  <c r="H85" i="4" s="1"/>
  <c r="H92" i="4" s="1"/>
  <c r="H41" i="4"/>
  <c r="H22" i="4"/>
  <c r="H107" i="4"/>
  <c r="I14" i="4"/>
  <c r="G38" i="6"/>
  <c r="I77" i="4"/>
  <c r="F11" i="5" s="1"/>
  <c r="G72" i="4"/>
  <c r="E67" i="6" l="1"/>
  <c r="D77" i="6"/>
  <c r="E25" i="5"/>
  <c r="E17" i="5"/>
  <c r="H51" i="4"/>
  <c r="H108" i="4"/>
  <c r="H110" i="4" s="1"/>
  <c r="H113" i="4" s="1"/>
  <c r="G39" i="6"/>
  <c r="F7" i="5"/>
  <c r="I18" i="4"/>
  <c r="I15" i="4"/>
  <c r="F21" i="5" s="1"/>
  <c r="E68" i="6" l="1"/>
  <c r="E71" i="6"/>
  <c r="E76" i="6"/>
  <c r="E28" i="5"/>
  <c r="H53" i="4"/>
  <c r="H71" i="4" s="1"/>
  <c r="H45" i="4"/>
  <c r="H114" i="4" s="1"/>
  <c r="G40" i="6"/>
  <c r="I19" i="4"/>
  <c r="I21" i="4" s="1"/>
  <c r="I76" i="4"/>
  <c r="E78" i="6" l="1"/>
  <c r="E46" i="6"/>
  <c r="E49" i="6" s="1"/>
  <c r="H46" i="4"/>
  <c r="H48" i="4" s="1"/>
  <c r="H72" i="4" s="1"/>
  <c r="I111" i="4"/>
  <c r="I20" i="4"/>
  <c r="F10" i="5" s="1"/>
  <c r="F8" i="5" s="1"/>
  <c r="F9" i="5" s="1"/>
  <c r="F16" i="5" s="1"/>
  <c r="I84" i="4"/>
  <c r="I85" i="4" s="1"/>
  <c r="I92" i="4" s="1"/>
  <c r="I41" i="4"/>
  <c r="I22" i="4"/>
  <c r="I107" i="4"/>
  <c r="E57" i="6"/>
  <c r="E50" i="6" l="1"/>
  <c r="E55" i="6"/>
  <c r="F25" i="5"/>
  <c r="F17" i="5"/>
  <c r="I51" i="4"/>
  <c r="I53" i="4" s="1"/>
  <c r="I71" i="4" s="1"/>
  <c r="I108" i="4"/>
  <c r="I110" i="4" s="1"/>
  <c r="I113" i="4" s="1"/>
  <c r="E79" i="6"/>
  <c r="E58" i="6" l="1"/>
  <c r="E59" i="6"/>
  <c r="E73" i="6" s="1"/>
  <c r="E74" i="6" s="1"/>
  <c r="F72" i="6" s="1"/>
  <c r="N35" i="5"/>
  <c r="J36" i="5"/>
  <c r="L36" i="5"/>
  <c r="N36" i="5"/>
  <c r="J37" i="5"/>
  <c r="L37" i="5"/>
  <c r="L38" i="5"/>
  <c r="N38" i="5"/>
  <c r="I38" i="5"/>
  <c r="N34" i="5"/>
  <c r="L35" i="5"/>
  <c r="K35" i="5"/>
  <c r="N37" i="5"/>
  <c r="M34" i="5"/>
  <c r="I35" i="5"/>
  <c r="J34" i="5"/>
  <c r="I36" i="5"/>
  <c r="M36" i="5"/>
  <c r="M37" i="5"/>
  <c r="K38" i="5"/>
  <c r="L34" i="5"/>
  <c r="J38" i="5"/>
  <c r="I34" i="5"/>
  <c r="K34" i="5"/>
  <c r="M35" i="5"/>
  <c r="K36" i="5"/>
  <c r="I37" i="5"/>
  <c r="K37" i="5"/>
  <c r="M38" i="5"/>
  <c r="J35" i="5"/>
  <c r="F28" i="5"/>
  <c r="F29" i="5"/>
  <c r="F30" i="5" s="1"/>
  <c r="I114" i="4"/>
  <c r="I45" i="4"/>
  <c r="I46" i="4" s="1"/>
  <c r="I48" i="4" s="1"/>
  <c r="I72" i="4" s="1"/>
  <c r="E69" i="6" l="1"/>
  <c r="E70" i="6" s="1"/>
  <c r="E60" i="6"/>
  <c r="E61" i="6" s="1"/>
  <c r="F56" i="6" s="1"/>
  <c r="F75" i="6"/>
  <c r="F47" i="6" s="1"/>
  <c r="B31" i="5"/>
  <c r="I25" i="5" s="1"/>
  <c r="I30" i="5" s="1"/>
  <c r="I31" i="5" s="1"/>
  <c r="I32" i="5" s="1"/>
  <c r="B32" i="5"/>
  <c r="E77" i="6" l="1"/>
  <c r="F67" i="6"/>
  <c r="F68" i="6" l="1"/>
  <c r="F57" i="6" s="1"/>
  <c r="F71" i="6"/>
  <c r="F76" i="6"/>
  <c r="F46" i="6" l="1"/>
  <c r="F49" i="6" s="1"/>
  <c r="F78" i="6"/>
  <c r="F79" i="6" s="1"/>
  <c r="F50" i="6" l="1"/>
  <c r="F55" i="6" s="1"/>
  <c r="F58" i="6" l="1"/>
  <c r="F59" i="6"/>
  <c r="F73" i="6" s="1"/>
  <c r="F74" i="6" s="1"/>
  <c r="G72" i="6" s="1"/>
  <c r="F60" i="6" l="1"/>
  <c r="F61" i="6" s="1"/>
  <c r="G56" i="6" s="1"/>
  <c r="F69" i="6"/>
  <c r="F70" i="6" s="1"/>
  <c r="G75" i="6"/>
  <c r="G47" i="6" s="1"/>
  <c r="G67" i="6" l="1"/>
  <c r="F77" i="6"/>
  <c r="G68" i="6" l="1"/>
  <c r="G71" i="6"/>
  <c r="G76" i="6"/>
  <c r="G78" i="6" l="1"/>
  <c r="G79" i="6" s="1"/>
  <c r="G46" i="6"/>
  <c r="G49" i="6" s="1"/>
  <c r="G57" i="6"/>
  <c r="G50" i="6" l="1"/>
  <c r="G55" i="6"/>
  <c r="G58" i="6" l="1"/>
  <c r="G59" i="6"/>
  <c r="G73" i="6" s="1"/>
  <c r="G74" i="6" s="1"/>
  <c r="G69" i="6" l="1"/>
  <c r="G70" i="6" s="1"/>
  <c r="G77" i="6" s="1"/>
  <c r="I23" i="6" s="1"/>
  <c r="G60" i="6"/>
  <c r="G61" i="6" s="1"/>
  <c r="I24" i="6" s="1"/>
  <c r="I31" i="6" l="1"/>
  <c r="I29" i="6"/>
  <c r="J39" i="6"/>
  <c r="L39" i="6"/>
  <c r="I25" i="6"/>
  <c r="I27" i="6" s="1"/>
  <c r="I28" i="6" s="1"/>
  <c r="I35" i="6"/>
  <c r="J35" i="6"/>
  <c r="K35" i="6"/>
  <c r="L35" i="6"/>
  <c r="M35" i="6"/>
  <c r="K37" i="6"/>
  <c r="M38" i="6"/>
  <c r="J36" i="6"/>
  <c r="M36" i="6"/>
  <c r="I37" i="6"/>
  <c r="J37" i="6"/>
  <c r="L38" i="6"/>
  <c r="K39" i="6"/>
  <c r="I38" i="6"/>
  <c r="I36" i="6"/>
  <c r="K36" i="6"/>
  <c r="L36" i="6"/>
  <c r="J38" i="6"/>
  <c r="I39" i="6"/>
  <c r="M39" i="6"/>
  <c r="L37" i="6"/>
  <c r="M37" i="6"/>
  <c r="K38" i="6"/>
</calcChain>
</file>

<file path=xl/sharedStrings.xml><?xml version="1.0" encoding="utf-8"?>
<sst xmlns="http://schemas.openxmlformats.org/spreadsheetml/2006/main" count="569" uniqueCount="370">
  <si>
    <t>€ million unless stated otherwise</t>
  </si>
  <si>
    <t>FY2026E</t>
  </si>
  <si>
    <t>FY2027E</t>
  </si>
  <si>
    <t>FY2028E</t>
  </si>
  <si>
    <t>FY2029E</t>
  </si>
  <si>
    <t>FY2030E</t>
  </si>
  <si>
    <t>Revenue growth</t>
  </si>
  <si>
    <t>Gross margin</t>
  </si>
  <si>
    <t>Operating expenses / Revenue</t>
  </si>
  <si>
    <t>D&amp;A / Revenue</t>
  </si>
  <si>
    <t>Tax rate</t>
  </si>
  <si>
    <t>Other losses &amp; income / Revenue</t>
  </si>
  <si>
    <t>Financial results / Revenue</t>
  </si>
  <si>
    <t>Equity-method results</t>
  </si>
  <si>
    <t>Balance Sheet</t>
  </si>
  <si>
    <t>DSO (Days Sales Outstanding)</t>
  </si>
  <si>
    <t>DIO (Days Inventory Outstanding)</t>
  </si>
  <si>
    <t>DPO (Days Payable Outstanding)</t>
  </si>
  <si>
    <t>Other current assets / Revenue</t>
  </si>
  <si>
    <t>Income tax receivable / Tax expense</t>
  </si>
  <si>
    <t>Other non-current assets / Revenue</t>
  </si>
  <si>
    <t>Dividend payout ratio</t>
  </si>
  <si>
    <t>Rights of use / Revenue</t>
  </si>
  <si>
    <t>Other intangible asstes / Revenue</t>
  </si>
  <si>
    <t>Provisions / Revenue</t>
  </si>
  <si>
    <t>Other NCL / Revenue</t>
  </si>
  <si>
    <t>Total Lease Liability / Revenue</t>
  </si>
  <si>
    <t>NC Lease Liability % TLL</t>
  </si>
  <si>
    <t>PP&amp;E CAPEX / Revenue</t>
  </si>
  <si>
    <t>Depreciation of PP&amp;E</t>
  </si>
  <si>
    <t>Amortisation of intangible assets / Beginning intangible assets</t>
  </si>
  <si>
    <t>Lease financial expenses / Revenue</t>
  </si>
  <si>
    <t>Others / Revenue</t>
  </si>
  <si>
    <t>Intangible CAPEX / Revenue</t>
  </si>
  <si>
    <t>Lease payments / Revenue</t>
  </si>
  <si>
    <t>New lease additions / Revenue</t>
  </si>
  <si>
    <t>Amortisation of ROU / Beginning ROU</t>
  </si>
  <si>
    <t>Auxiliar</t>
  </si>
  <si>
    <t>FY2023A</t>
  </si>
  <si>
    <t>FY2024A</t>
  </si>
  <si>
    <t>FY2025A</t>
  </si>
  <si>
    <t>Net Operating Fixed Assets</t>
  </si>
  <si>
    <t>Rights of use%Revenue</t>
  </si>
  <si>
    <t>Other intangible%Revenue</t>
  </si>
  <si>
    <t>Other non-current assets%Revenue</t>
  </si>
  <si>
    <t>Provisions%Revenue</t>
  </si>
  <si>
    <t>Other NCL%Revenue</t>
  </si>
  <si>
    <t>Total Lease Liability%Revenue</t>
  </si>
  <si>
    <t>NC Lease Liability%TLL</t>
  </si>
  <si>
    <t>PP&amp;E CAPEX%Revenue</t>
  </si>
  <si>
    <t>€ million</t>
  </si>
  <si>
    <t>INCOME STATEMENT</t>
  </si>
  <si>
    <t>Net sales</t>
  </si>
  <si>
    <t>Cost of sales</t>
  </si>
  <si>
    <t>GROSS PROFIT</t>
  </si>
  <si>
    <t>Operating expenses</t>
  </si>
  <si>
    <t>Other losses and income</t>
  </si>
  <si>
    <t>GROSS OPERATING PROFIT (EBITDA)</t>
  </si>
  <si>
    <t>Amortisation and depreciation</t>
  </si>
  <si>
    <t>NET OPERATING PROFIT (EBIT)</t>
  </si>
  <si>
    <t>Financial results</t>
  </si>
  <si>
    <t>Results of companies accounted for using the equity method</t>
  </si>
  <si>
    <t>PROFIT BEFORE TAXES (PBT)</t>
  </si>
  <si>
    <t>Income tax</t>
  </si>
  <si>
    <t>NET PROFIT</t>
  </si>
  <si>
    <t>BALANCE SHEET</t>
  </si>
  <si>
    <t>NON-CURRENT ASSETS</t>
  </si>
  <si>
    <t>Rights of use</t>
  </si>
  <si>
    <t>Other intangible assets</t>
  </si>
  <si>
    <t>Goodwill</t>
  </si>
  <si>
    <t>Property, plant and equipment</t>
  </si>
  <si>
    <t>Investment property</t>
  </si>
  <si>
    <t>Financial investments</t>
  </si>
  <si>
    <t>Other non-current assets</t>
  </si>
  <si>
    <t>Deferred tax assets</t>
  </si>
  <si>
    <t>CURRENT ASSETS</t>
  </si>
  <si>
    <t>Inventories</t>
  </si>
  <si>
    <t>Trade and other receivables</t>
  </si>
  <si>
    <t>Income tax receivable</t>
  </si>
  <si>
    <t>Other current assets</t>
  </si>
  <si>
    <t>Other financial assets</t>
  </si>
  <si>
    <t>Current financial investments</t>
  </si>
  <si>
    <t>Cash and cash equivalents</t>
  </si>
  <si>
    <t>TOTAL ASSETS</t>
  </si>
  <si>
    <t>EQUITY</t>
  </si>
  <si>
    <t>Equity attributable to the Parent</t>
  </si>
  <si>
    <t>Equity attributable to non-controlling interests</t>
  </si>
  <si>
    <t>NON-CURRENT LIABILITIES</t>
  </si>
  <si>
    <t>Provisions</t>
  </si>
  <si>
    <t>Other non-current liabilities</t>
  </si>
  <si>
    <t>Financial debt</t>
  </si>
  <si>
    <t>Non-current lease liability</t>
  </si>
  <si>
    <t>Deferred tax liabilities</t>
  </si>
  <si>
    <t>CURRENT LIABILITIES</t>
  </si>
  <si>
    <t>Other financial liabilities</t>
  </si>
  <si>
    <t>Current lease liability</t>
  </si>
  <si>
    <t>Income tax payable</t>
  </si>
  <si>
    <t>Trade and other payables</t>
  </si>
  <si>
    <t>TOTAL EQUITY AND LIABILITIES</t>
  </si>
  <si>
    <t>CASH FLOW STATEMENT</t>
  </si>
  <si>
    <t>Profit before taxes</t>
  </si>
  <si>
    <t>Provisions for impairment</t>
  </si>
  <si>
    <t>Lease financial expenses</t>
  </si>
  <si>
    <t>Others</t>
  </si>
  <si>
    <t>Income tax paid</t>
  </si>
  <si>
    <t>Funds from operations</t>
  </si>
  <si>
    <t>Receivables and other current assets</t>
  </si>
  <si>
    <t>Current payables</t>
  </si>
  <si>
    <t>Changes in working capital</t>
  </si>
  <si>
    <t>Cash flows from operating activities</t>
  </si>
  <si>
    <t>Payments relating to investments in intangible assets</t>
  </si>
  <si>
    <t>Payments relating to investments in property, plant and equipment</t>
  </si>
  <si>
    <t>Payments relating to investments in companies</t>
  </si>
  <si>
    <t>Collections relating to investments in other financial investments</t>
  </si>
  <si>
    <t>Payments relating to investments in other financial investments</t>
  </si>
  <si>
    <t>Payments relating to investments in other assets</t>
  </si>
  <si>
    <t>Collections relating to investments in other assets</t>
  </si>
  <si>
    <t>Changes in current financial investments</t>
  </si>
  <si>
    <t>Cash flows from investing activities</t>
  </si>
  <si>
    <t>Payments relating to non-current financial debt</t>
  </si>
  <si>
    <t>Changes in current financial debt</t>
  </si>
  <si>
    <t>Lease payments fixed charge</t>
  </si>
  <si>
    <t>Dividends</t>
  </si>
  <si>
    <t>Cash flows used in financing activities</t>
  </si>
  <si>
    <t>Net increase in cash and cash equivalents</t>
  </si>
  <si>
    <t>Cash and cash equivalents at the beginning of the year</t>
  </si>
  <si>
    <t>Effect of exchange rate fluctuations on cash and cash equivalents</t>
  </si>
  <si>
    <t>Cash and cash equivalents at the end of the year</t>
  </si>
  <si>
    <t>INDITEX — 3-STATEMENT FINANCIAL MODEL</t>
  </si>
  <si>
    <t>EBITDA</t>
  </si>
  <si>
    <t>% EBITDA margin</t>
  </si>
  <si>
    <t>EBIT</t>
  </si>
  <si>
    <t>% EBIT margin</t>
  </si>
  <si>
    <t>PBT</t>
  </si>
  <si>
    <t>% Tax rate</t>
  </si>
  <si>
    <t>% Net margin</t>
  </si>
  <si>
    <t>% Revenue growth</t>
  </si>
  <si>
    <t>-</t>
  </si>
  <si>
    <t>TOTAL NON-CURRENT ASSETS</t>
  </si>
  <si>
    <t>TOTAL CURRENT ASSETS</t>
  </si>
  <si>
    <t>TOTAL EQUITY</t>
  </si>
  <si>
    <t>TOTAL NON-CURRENT LIABILITIES</t>
  </si>
  <si>
    <t>TOTAL CURRENT LIABILITIES</t>
  </si>
  <si>
    <t>BALANCE SHEET CHECK</t>
  </si>
  <si>
    <t>Change in provisions</t>
  </si>
  <si>
    <t>Change in other non-current liabilities</t>
  </si>
  <si>
    <t>Cash flows from operating activities (CFO)</t>
  </si>
  <si>
    <t>Cash flows from investing activities (CFI)</t>
  </si>
  <si>
    <t>Cash flows used in financing activities (CFF)</t>
  </si>
  <si>
    <t>Cash and cash equivalents at beginning of year</t>
  </si>
  <si>
    <t>Effect of exchange rate fluctuations</t>
  </si>
  <si>
    <t>Cash and cash equivalents at end of year</t>
  </si>
  <si>
    <t>Cash flow vs. Balance Sheet check</t>
  </si>
  <si>
    <t>Historical source: Inditex Group Consolidated Annual Accounts / Annual Report 2025 and 2024. Values in € million.</t>
  </si>
  <si>
    <t>PP&amp;E schedule</t>
  </si>
  <si>
    <t>PP&amp;E - Beginning</t>
  </si>
  <si>
    <t>PP&amp;E CAPEX</t>
  </si>
  <si>
    <t>Depreciation</t>
  </si>
  <si>
    <t>PP&amp;E - Ending</t>
  </si>
  <si>
    <t>Other intangible assets schedule</t>
  </si>
  <si>
    <t>Other intangible assets - Beginning</t>
  </si>
  <si>
    <t>Amortisation of intangible assets</t>
  </si>
  <si>
    <t>Other movements</t>
  </si>
  <si>
    <t>Other intangible assets - Ending</t>
  </si>
  <si>
    <t>Rights of use assets schedule</t>
  </si>
  <si>
    <t>Rights of use - Beginning</t>
  </si>
  <si>
    <t>New lease additions</t>
  </si>
  <si>
    <t>Amortisation of right-of-use assets</t>
  </si>
  <si>
    <t>Rights of use - Ending</t>
  </si>
  <si>
    <t>Lease liability schedule</t>
  </si>
  <si>
    <t>Lease liability - Beginning</t>
  </si>
  <si>
    <t>Lease liability - Ending</t>
  </si>
  <si>
    <t>D&amp;A schedule</t>
  </si>
  <si>
    <t>PP&amp;E depreciation</t>
  </si>
  <si>
    <t>Intangible assets amortisation</t>
  </si>
  <si>
    <t>ROU assets amortisation</t>
  </si>
  <si>
    <t>TOTAL D&amp;A</t>
  </si>
  <si>
    <t>Equity-method investment schedule</t>
  </si>
  <si>
    <t>Equity-method investment - Beginning</t>
  </si>
  <si>
    <t>Equity-method investment - Ending</t>
  </si>
  <si>
    <t>Other financial investments</t>
  </si>
  <si>
    <t>Financial investments - Ending</t>
  </si>
  <si>
    <t>INDITEX — DCF VALUATION</t>
  </si>
  <si>
    <t>Unlevered DCF based on FY2026E–FY2030E forecast; € million except per-share data.</t>
  </si>
  <si>
    <t>UNLEVERED FREE CASH FLOW</t>
  </si>
  <si>
    <t>WACC</t>
  </si>
  <si>
    <t>Risk-free rate</t>
  </si>
  <si>
    <t>https://uk.investing.com/rates-bonds/germany-10-year-bond-yield-historical-data</t>
  </si>
  <si>
    <t>Revenue</t>
  </si>
  <si>
    <t>Market Equity Risk Premium</t>
  </si>
  <si>
    <t>https://pages.stern.nyu.edu/~adamodar/New_Home_Page/datafile/histimpl.html</t>
  </si>
  <si>
    <t>Beta (5Y monthly)</t>
  </si>
  <si>
    <t>https://finance.yahoo.com/quote/ITX.MC/</t>
  </si>
  <si>
    <t>Taxes on EBIT</t>
  </si>
  <si>
    <t>Cost of equity (Ke)</t>
  </si>
  <si>
    <t>Rf + Beta × ERP</t>
  </si>
  <si>
    <t>Net operating profit afeter tax (NOPAT)</t>
  </si>
  <si>
    <t>Pre-tax cost of debt</t>
  </si>
  <si>
    <t>Model assumption; immaterial due to negligible financial debt</t>
  </si>
  <si>
    <t>Linked to Assumptions</t>
  </si>
  <si>
    <t>D&amp;A</t>
  </si>
  <si>
    <t>Market value of equity</t>
  </si>
  <si>
    <t>PP&amp;E Capex</t>
  </si>
  <si>
    <t>Interest-bearing debt</t>
  </si>
  <si>
    <t>FY2025A financial debt from 3-Statement</t>
  </si>
  <si>
    <t>Intangible Capex</t>
  </si>
  <si>
    <t>Debt weight</t>
  </si>
  <si>
    <t>Debt / (Debt + Equity)</t>
  </si>
  <si>
    <t>Total Capex</t>
  </si>
  <si>
    <t>Equity weight</t>
  </si>
  <si>
    <t>Equity / (Debt + Equity)</t>
  </si>
  <si>
    <t>Change in NWC (cash impact)</t>
  </si>
  <si>
    <t>Ke × Equity weight + Kd × (1-T) × Debt weight</t>
  </si>
  <si>
    <t>UFCF</t>
  </si>
  <si>
    <t>WACC used</t>
  </si>
  <si>
    <t>Used throughout DCF</t>
  </si>
  <si>
    <t>UFCF margin</t>
  </si>
  <si>
    <t>DCF assumptions</t>
  </si>
  <si>
    <t>Terminal growth</t>
  </si>
  <si>
    <t>Model assumption</t>
  </si>
  <si>
    <t>Operating metrics</t>
  </si>
  <si>
    <t>Valuation date</t>
  </si>
  <si>
    <t>30-Sep-2026</t>
  </si>
  <si>
    <t>Current market reference date</t>
  </si>
  <si>
    <t>Current share price</t>
  </si>
  <si>
    <t>https://cincodias.elpais.com/mercados/empresas/inditex/historico/</t>
  </si>
  <si>
    <t>EBIT margin</t>
  </si>
  <si>
    <t>Shares outstanding (mm)</t>
  </si>
  <si>
    <t>https://www.investing.com/equities/inditex</t>
  </si>
  <si>
    <t>DCF VALUATION</t>
  </si>
  <si>
    <t>EQUITY BRIDGE</t>
  </si>
  <si>
    <t>Value</t>
  </si>
  <si>
    <t>Source / Notes</t>
  </si>
  <si>
    <t>Enterprise value</t>
  </si>
  <si>
    <t>Linked from DCF</t>
  </si>
  <si>
    <t>Period</t>
  </si>
  <si>
    <t>Discount factor</t>
  </si>
  <si>
    <t>Lease liabilities</t>
  </si>
  <si>
    <t>FY2025A; non-current + current</t>
  </si>
  <si>
    <t>PV of UFCF</t>
  </si>
  <si>
    <t>Cash &amp; cash equivalents</t>
  </si>
  <si>
    <t>Terminal value</t>
  </si>
  <si>
    <t>PV of terminal value</t>
  </si>
  <si>
    <t>Equity value</t>
  </si>
  <si>
    <t>EV bridge</t>
  </si>
  <si>
    <t>Implied value per share</t>
  </si>
  <si>
    <t>Equity value / shares outstanding</t>
  </si>
  <si>
    <t>Terminal value / EV</t>
  </si>
  <si>
    <t>Implied upside / (downside)</t>
  </si>
  <si>
    <t>vs. current share price</t>
  </si>
  <si>
    <t>WACC / g</t>
  </si>
  <si>
    <t>Modeling note: UFCF = NOPAT + D&amp;A − operating Capex + cash impact from NWC. IFRS 16 lease additions are excluded from operating Capex; lease liabilities are deducted in the EV-to-equity bridge.</t>
  </si>
  <si>
    <t>Sources: Risk-free rate (30-Sep-2026), beta/current price/share data as noted above; Market ERP uses Damodaran end-2025 reference. Forecast operating data is linked to the model's 3-Statement.</t>
  </si>
  <si>
    <t>INDITEX — LBO ANALYSIS</t>
  </si>
  <si>
    <t>Illustrative sponsor-led LBO using FY2025A entry EBITDA and a five-year FY2026E–FY2030E hold period; € million except multiples and returns.</t>
  </si>
  <si>
    <t>TRANSACTION ASSUMPTIONS</t>
  </si>
  <si>
    <t>SOURCES &amp; USES</t>
  </si>
  <si>
    <t>Entry / LTM EBITDA</t>
  </si>
  <si>
    <t>Linked from 3-Statement FY2025A</t>
  </si>
  <si>
    <t>Purchase equity value</t>
  </si>
  <si>
    <t>Linked to transaction assumptions</t>
  </si>
  <si>
    <t>Entry EV / EBITDA</t>
  </si>
  <si>
    <t>Refinance existing financial debt</t>
  </si>
  <si>
    <t>Entry Enterprise Value</t>
  </si>
  <si>
    <t>Entry EBITDA × Entry multiple</t>
  </si>
  <si>
    <t>Transaction fees</t>
  </si>
  <si>
    <t>Existing financial debt</t>
  </si>
  <si>
    <t>Linked from DCF FY2025A financial debt</t>
  </si>
  <si>
    <t>Total uses</t>
  </si>
  <si>
    <t>Sum of uses</t>
  </si>
  <si>
    <t>Cash &amp; current financial investments</t>
  </si>
  <si>
    <t>Linked from DCF FY2025A liquid assets</t>
  </si>
  <si>
    <t>Entry EV − existing debt + liquid assets</t>
  </si>
  <si>
    <t>Term loan</t>
  </si>
  <si>
    <t>Entry EBITDA × term loan leverage</t>
  </si>
  <si>
    <t>Transaction fees / Purchase equity value</t>
  </si>
  <si>
    <t>Notes</t>
  </si>
  <si>
    <t>Entry EBITDA × notes leverage</t>
  </si>
  <si>
    <t>Purchase equity value × fee %</t>
  </si>
  <si>
    <t>Target cash &amp; liquid investments</t>
  </si>
  <si>
    <t>Used at close; minimum cash retained</t>
  </si>
  <si>
    <t>Minimum cash balance</t>
  </si>
  <si>
    <t>Sponsor equity</t>
  </si>
  <si>
    <t>Residual funding source</t>
  </si>
  <si>
    <t>Cash &amp; liquid investments used at close</t>
  </si>
  <si>
    <t>Liquid assets less minimum cash</t>
  </si>
  <si>
    <t>Total sources</t>
  </si>
  <si>
    <t>Sum of sources</t>
  </si>
  <si>
    <t>Total new debt / Entry EBITDA</t>
  </si>
  <si>
    <t>Sources / uses check</t>
  </si>
  <si>
    <t>Should equal zero</t>
  </si>
  <si>
    <t>Term loan / EBITDA</t>
  </si>
  <si>
    <t>Notes / EBITDA</t>
  </si>
  <si>
    <t>RETURNS ANALYSIS</t>
  </si>
  <si>
    <t>Term loan interest rate</t>
  </si>
  <si>
    <t>Metric</t>
  </si>
  <si>
    <t>Notes interest rate</t>
  </si>
  <si>
    <t>Exit EBITDA (FY2030E)</t>
  </si>
  <si>
    <t>Linked from operating projections</t>
  </si>
  <si>
    <t>Mandatory term loan amortization</t>
  </si>
  <si>
    <t>Exit EV / EBITDA</t>
  </si>
  <si>
    <t>Cash sweep</t>
  </si>
  <si>
    <t>Exit Enterprise Value</t>
  </si>
  <si>
    <t>Exit EBITDA × exit multiple</t>
  </si>
  <si>
    <t>Ending financial debt</t>
  </si>
  <si>
    <t>Linked from debt schedule</t>
  </si>
  <si>
    <t>Linked from Assumptions</t>
  </si>
  <si>
    <t>Ending cash</t>
  </si>
  <si>
    <t>Linked from cash flow</t>
  </si>
  <si>
    <t>Hold period (years)</t>
  </si>
  <si>
    <t>Sponsor exit equity proceeds</t>
  </si>
  <si>
    <t>Exit EV − ending debt + ending cash</t>
  </si>
  <si>
    <t>Sponsor entry equity</t>
  </si>
  <si>
    <t>Linked from Sources &amp; Uses</t>
  </si>
  <si>
    <t>MOIC</t>
  </si>
  <si>
    <t>Exit proceeds / entry equity</t>
  </si>
  <si>
    <t>IRR</t>
  </si>
  <si>
    <t>MOIC ^ (1 / hold period) − 1</t>
  </si>
  <si>
    <t>Debt paydown</t>
  </si>
  <si>
    <t>Initial new debt − ending financial debt</t>
  </si>
  <si>
    <t>Entry leverage</t>
  </si>
  <si>
    <t>New debt / entry EBITDA</t>
  </si>
  <si>
    <t>Exit leverage</t>
  </si>
  <si>
    <t>Ending financial debt / exit EBITDA</t>
  </si>
  <si>
    <t>OPERATING PROJECTIONS</t>
  </si>
  <si>
    <t>IRR SENSITIVITY — ENTRY / EXIT MULTIPLES</t>
  </si>
  <si>
    <t>Entry / Exit</t>
  </si>
  <si>
    <t>EBITDA margin</t>
  </si>
  <si>
    <t>LBO CASH FLOW</t>
  </si>
  <si>
    <t>Entry</t>
  </si>
  <si>
    <t>Term loan cash interest</t>
  </si>
  <si>
    <t>Notes cash interest</t>
  </si>
  <si>
    <t>Lease financial expense</t>
  </si>
  <si>
    <t>Total cash interest</t>
  </si>
  <si>
    <t>Cash taxes</t>
  </si>
  <si>
    <t>Lease principal payments</t>
  </si>
  <si>
    <t>Cash flow before debt repayment</t>
  </si>
  <si>
    <t>Beginning cash</t>
  </si>
  <si>
    <t>Term loan cash sweep</t>
  </si>
  <si>
    <t>Notes cash sweep</t>
  </si>
  <si>
    <t>Total debt repayment</t>
  </si>
  <si>
    <t>DEBT SCHEDULE</t>
  </si>
  <si>
    <t>Term loan - Beginning</t>
  </si>
  <si>
    <t>Term loan - Mandatory amortization</t>
  </si>
  <si>
    <t>Term loan - Cash sweep</t>
  </si>
  <si>
    <t>Term loan - Ending</t>
  </si>
  <si>
    <t>Term loan - Interest</t>
  </si>
  <si>
    <t>Notes - Beginning</t>
  </si>
  <si>
    <t>Notes - Cash sweep</t>
  </si>
  <si>
    <t>Notes - Ending</t>
  </si>
  <si>
    <t>Notes - Interest</t>
  </si>
  <si>
    <t>Total debt - Beginning</t>
  </si>
  <si>
    <t>Total debt - Ending</t>
  </si>
  <si>
    <t>Debt schedule check</t>
  </si>
  <si>
    <t>Modeling note: illustrative five-year LBO. Interest is calculated on beginning debt balances to avoid circularity; excess cash after mandatory amortization is swept to debt. Lease liabilities are outside the financing stack, while lease interest and principal payments remain in cash flow.</t>
  </si>
  <si>
    <t>Sources / notes: Operating forecast, tax rate and historical balance-sheet inputs are linked to the existing model. Transaction, leverage, interest-rate and exit-multiple assumptions are illustrative training inputs.</t>
  </si>
  <si>
    <t>Historical financial statements linked from Historical Data.</t>
  </si>
  <si>
    <t>Five-year hold</t>
  </si>
  <si>
    <t>Financial Modeling Project</t>
  </si>
  <si>
    <t>3-Statement Model</t>
  </si>
  <si>
    <t>Discounted Cash Flow (DCF)</t>
  </si>
  <si>
    <t>Leveraged Buyout (LBO)</t>
  </si>
  <si>
    <r>
      <t>Company:</t>
    </r>
    <r>
      <rPr>
        <sz val="11"/>
        <color theme="1"/>
        <rFont val="Aptos Narrow"/>
        <family val="2"/>
      </rPr>
      <t xml:space="preserve"> Inditex</t>
    </r>
  </si>
  <si>
    <r>
      <t>Currency:</t>
    </r>
    <r>
      <rPr>
        <sz val="11"/>
        <color theme="1"/>
        <rFont val="Aptos Narrow"/>
        <family val="2"/>
      </rPr>
      <t xml:space="preserve"> € millions, except per-share data</t>
    </r>
  </si>
  <si>
    <r>
      <t>Historical period:</t>
    </r>
    <r>
      <rPr>
        <sz val="11"/>
        <color theme="1"/>
        <rFont val="Aptos Narrow"/>
        <family val="2"/>
      </rPr>
      <t xml:space="preserve"> FY2023A–FY2025A</t>
    </r>
  </si>
  <si>
    <r>
      <t>Forecast period:</t>
    </r>
    <r>
      <rPr>
        <sz val="11"/>
        <color theme="1"/>
        <rFont val="Aptos Narrow"/>
        <family val="2"/>
      </rPr>
      <t xml:space="preserve"> FY2026E–FY2030E</t>
    </r>
  </si>
  <si>
    <r>
      <t>Data source:</t>
    </r>
    <r>
      <rPr>
        <sz val="11"/>
        <color theme="1"/>
        <rFont val="Aptos Narrow"/>
        <family val="2"/>
      </rPr>
      <t xml:space="preserve"> Inditex Annual Reports and publicly available market data</t>
    </r>
  </si>
  <si>
    <t>For educational and illustrative purposes only.</t>
  </si>
  <si>
    <t>Models included:</t>
  </si>
  <si>
    <t>INDITEX — INTEGRATED FINANCIAL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</si>
</sst>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[Red]\(#,##0\);\-"/>
    <numFmt numFmtId="165" formatCode="0.0%;[Red]\(0.0%\);\-"/>
    <numFmt numFmtId="166" formatCode="\€0.00;[Red]\(\€0.00\);\-"/>
    <numFmt numFmtId="167" formatCode="#,##0.0000;[Red]\(#,##0.0000\);\-"/>
    <numFmt numFmtId="168" formatCode="0.0\x"/>
    <numFmt numFmtId="169" formatCode="0.0"/>
  </numFmts>
  <fonts count="22" x14ac:knownFonts="1">
    <font>
      <sz val="11"/>
      <color theme="1"/>
      <name val="Aptos Narrow"/>
    </font>
    <font>
      <b/>
      <sz val="11"/>
      <color theme="1"/>
      <name val="Aptos Narrow"/>
      <family val="2"/>
    </font>
    <font>
      <b/>
      <sz val="14"/>
      <color theme="1"/>
      <name val="Aptos Narrow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i/>
      <sz val="9"/>
      <color rgb="FF666666"/>
      <name val="Aptos Narrow"/>
      <family val="2"/>
    </font>
    <font>
      <sz val="11"/>
      <color theme="1"/>
      <name val="Aptos Narrow"/>
      <family val="2"/>
    </font>
    <font>
      <sz val="11"/>
      <color theme="1"/>
      <name val="Aptos Narrow"/>
      <family val="2"/>
    </font>
    <font>
      <sz val="10"/>
      <color rgb="FF000000"/>
      <name val="Aptos Narrow"/>
      <family val="2"/>
    </font>
    <font>
      <b/>
      <sz val="14"/>
      <color rgb="FFFFFFFF"/>
      <name val="Aptos Narrow"/>
      <family val="2"/>
    </font>
    <font>
      <i/>
      <sz val="10"/>
      <color rgb="FF666666"/>
      <name val="Aptos Narrow"/>
      <family val="2"/>
    </font>
    <font>
      <b/>
      <sz val="10"/>
      <color rgb="FFFFFFFF"/>
      <name val="Aptos Narrow"/>
      <family val="2"/>
    </font>
    <font>
      <b/>
      <sz val="10"/>
      <color rgb="FF000000"/>
      <name val="Aptos Narrow"/>
      <family val="2"/>
    </font>
    <font>
      <sz val="10"/>
      <color rgb="FF0000FF"/>
      <name val="Aptos Narrow"/>
      <family val="2"/>
    </font>
    <font>
      <sz val="10"/>
      <color rgb="FF008000"/>
      <name val="Aptos Narrow"/>
      <family val="2"/>
    </font>
    <font>
      <sz val="9"/>
      <color rgb="FF666666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b/>
      <sz val="9"/>
      <color rgb="FF666666"/>
      <name val="Aptos Narrow"/>
      <family val="2"/>
    </font>
    <font>
      <b/>
      <sz val="10"/>
      <color rgb="FF0000FF"/>
      <name val="Aptos Narrow"/>
      <family val="2"/>
    </font>
    <font>
      <sz val="14"/>
      <color theme="1"/>
      <name val="Aptos Narrow"/>
      <family val="2"/>
    </font>
    <font>
      <b/>
      <sz val="12"/>
      <color theme="1"/>
      <name val="Aptos Narrow"/>
      <family val="2"/>
    </font>
  </fonts>
  <fills count="1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7365D"/>
      </patternFill>
    </fill>
    <fill>
      <patternFill patternType="solid">
        <fgColor rgb="FFD9E2F3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63A63"/>
      </patternFill>
    </fill>
    <fill>
      <patternFill patternType="solid">
        <fgColor rgb="FFD9E2F3"/>
      </patternFill>
    </fill>
    <fill>
      <patternFill patternType="solid">
        <fgColor rgb="FFFFFF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000000"/>
      </top>
      <bottom/>
      <diagonal/>
    </border>
    <border>
      <left/>
      <right style="thin">
        <color rgb="FFD9D9D9"/>
      </right>
      <top style="thin">
        <color rgb="FF000000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46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right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0" fontId="0" fillId="0" borderId="0" xfId="0" applyNumberFormat="1"/>
    <xf numFmtId="10" fontId="6" fillId="0" borderId="0" xfId="0" applyNumberFormat="1" applyFont="1" applyAlignment="1">
      <alignment vertical="center" wrapText="1"/>
    </xf>
    <xf numFmtId="10" fontId="6" fillId="0" borderId="0" xfId="0" applyNumberFormat="1" applyFont="1" applyAlignment="1">
      <alignment horizontal="right" vertical="center"/>
    </xf>
    <xf numFmtId="0" fontId="6" fillId="0" borderId="0" xfId="0" applyFont="1"/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9" fontId="6" fillId="0" borderId="0" xfId="0" applyNumberFormat="1" applyFont="1" applyAlignment="1">
      <alignment horizontal="right" vertical="center"/>
    </xf>
    <xf numFmtId="10" fontId="3" fillId="0" borderId="0" xfId="0" applyNumberFormat="1" applyFont="1" applyAlignment="1">
      <alignment horizontal="right"/>
    </xf>
    <xf numFmtId="9" fontId="0" fillId="0" borderId="0" xfId="0" applyNumberFormat="1"/>
    <xf numFmtId="10" fontId="0" fillId="0" borderId="0" xfId="1" applyNumberFormat="1" applyFont="1"/>
    <xf numFmtId="0" fontId="4" fillId="0" borderId="0" xfId="0" applyFont="1" applyAlignment="1">
      <alignment horizontal="right"/>
    </xf>
    <xf numFmtId="9" fontId="0" fillId="0" borderId="0" xfId="1" applyFont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64" fontId="13" fillId="13" borderId="0" xfId="0" applyNumberFormat="1" applyFont="1" applyFill="1" applyAlignment="1">
      <alignment horizontal="right" vertical="center"/>
    </xf>
    <xf numFmtId="168" fontId="13" fillId="13" borderId="0" xfId="0" applyNumberFormat="1" applyFont="1" applyFill="1" applyAlignment="1">
      <alignment horizontal="right" vertical="center"/>
    </xf>
    <xf numFmtId="165" fontId="13" fillId="13" borderId="0" xfId="0" applyNumberFormat="1" applyFont="1" applyFill="1" applyAlignment="1">
      <alignment horizontal="right" vertical="center"/>
    </xf>
    <xf numFmtId="165" fontId="14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0" fontId="12" fillId="12" borderId="4" xfId="0" applyFont="1" applyFill="1" applyBorder="1" applyAlignment="1">
      <alignment horizontal="right" vertical="center"/>
    </xf>
    <xf numFmtId="0" fontId="12" fillId="12" borderId="5" xfId="0" applyFont="1" applyFill="1" applyBorder="1" applyAlignment="1">
      <alignment horizontal="right" vertical="center"/>
    </xf>
    <xf numFmtId="165" fontId="8" fillId="0" borderId="7" xfId="0" applyNumberFormat="1" applyFont="1" applyBorder="1" applyAlignment="1">
      <alignment horizontal="right" vertical="center"/>
    </xf>
    <xf numFmtId="165" fontId="8" fillId="0" borderId="9" xfId="0" applyNumberFormat="1" applyFont="1" applyBorder="1" applyAlignment="1">
      <alignment horizontal="right" vertical="center"/>
    </xf>
    <xf numFmtId="165" fontId="8" fillId="0" borderId="10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12" fillId="12" borderId="3" xfId="0" applyFont="1" applyFill="1" applyBorder="1" applyAlignment="1">
      <alignment horizontal="left" vertical="center"/>
    </xf>
    <xf numFmtId="0" fontId="12" fillId="12" borderId="6" xfId="0" applyFont="1" applyFill="1" applyBorder="1" applyAlignment="1">
      <alignment horizontal="left" vertical="center"/>
    </xf>
    <xf numFmtId="0" fontId="12" fillId="12" borderId="8" xfId="0" applyFont="1" applyFill="1" applyBorder="1" applyAlignment="1">
      <alignment horizontal="left" vertical="center"/>
    </xf>
    <xf numFmtId="164" fontId="12" fillId="0" borderId="2" xfId="0" applyNumberFormat="1" applyFont="1" applyBorder="1" applyAlignment="1">
      <alignment horizontal="right" vertical="center"/>
    </xf>
    <xf numFmtId="164" fontId="12" fillId="0" borderId="0" xfId="0" applyNumberFormat="1" applyFont="1" applyAlignment="1">
      <alignment horizontal="right" vertical="center"/>
    </xf>
    <xf numFmtId="168" fontId="8" fillId="0" borderId="0" xfId="0" applyNumberFormat="1" applyFont="1" applyAlignment="1">
      <alignment horizontal="right" vertical="center"/>
    </xf>
    <xf numFmtId="165" fontId="12" fillId="12" borderId="2" xfId="0" applyNumberFormat="1" applyFont="1" applyFill="1" applyBorder="1" applyAlignment="1">
      <alignment horizontal="right" vertical="center"/>
    </xf>
    <xf numFmtId="0" fontId="12" fillId="0" borderId="2" xfId="0" applyFont="1" applyBorder="1" applyAlignment="1">
      <alignment horizontal="right" vertical="center"/>
    </xf>
    <xf numFmtId="168" fontId="12" fillId="12" borderId="0" xfId="0" applyNumberFormat="1" applyFont="1" applyFill="1" applyAlignment="1">
      <alignment horizontal="right" vertical="center"/>
    </xf>
    <xf numFmtId="168" fontId="12" fillId="0" borderId="0" xfId="0" applyNumberFormat="1" applyFont="1" applyAlignment="1">
      <alignment horizontal="right" vertical="center"/>
    </xf>
    <xf numFmtId="0" fontId="12" fillId="12" borderId="11" xfId="0" applyFont="1" applyFill="1" applyBorder="1" applyAlignment="1">
      <alignment horizontal="left" vertical="center"/>
    </xf>
    <xf numFmtId="0" fontId="12" fillId="12" borderId="12" xfId="0" applyFont="1" applyFill="1" applyBorder="1" applyAlignment="1">
      <alignment horizontal="right" vertical="center"/>
    </xf>
    <xf numFmtId="0" fontId="8" fillId="0" borderId="14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169" fontId="13" fillId="13" borderId="17" xfId="0" applyNumberFormat="1" applyFont="1" applyFill="1" applyBorder="1" applyAlignment="1">
      <alignment horizontal="right" vertical="center"/>
    </xf>
    <xf numFmtId="0" fontId="12" fillId="12" borderId="13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left" vertical="center"/>
    </xf>
    <xf numFmtId="0" fontId="12" fillId="0" borderId="20" xfId="0" applyFont="1" applyBorder="1" applyAlignment="1">
      <alignment horizontal="left" vertical="center" wrapText="1"/>
    </xf>
    <xf numFmtId="164" fontId="12" fillId="0" borderId="17" xfId="0" applyNumberFormat="1" applyFont="1" applyBorder="1" applyAlignment="1">
      <alignment horizontal="right" vertical="center"/>
    </xf>
    <xf numFmtId="0" fontId="8" fillId="0" borderId="18" xfId="0" applyFont="1" applyBorder="1" applyAlignment="1">
      <alignment horizontal="left" vertical="center" wrapText="1"/>
    </xf>
    <xf numFmtId="168" fontId="12" fillId="0" borderId="17" xfId="0" applyNumberFormat="1" applyFont="1" applyBorder="1" applyAlignment="1">
      <alignment horizontal="right" vertical="center"/>
    </xf>
    <xf numFmtId="0" fontId="12" fillId="12" borderId="13" xfId="0" applyFont="1" applyFill="1" applyBorder="1" applyAlignment="1">
      <alignment horizontal="right" vertical="center"/>
    </xf>
    <xf numFmtId="164" fontId="14" fillId="0" borderId="15" xfId="0" applyNumberFormat="1" applyFont="1" applyBorder="1" applyAlignment="1">
      <alignment horizontal="right" vertical="center"/>
    </xf>
    <xf numFmtId="164" fontId="12" fillId="0" borderId="20" xfId="0" applyNumberFormat="1" applyFont="1" applyBorder="1" applyAlignment="1">
      <alignment horizontal="right" vertical="center"/>
    </xf>
    <xf numFmtId="165" fontId="8" fillId="0" borderId="15" xfId="0" applyNumberFormat="1" applyFont="1" applyBorder="1" applyAlignment="1">
      <alignment horizontal="right" vertical="center"/>
    </xf>
    <xf numFmtId="165" fontId="8" fillId="0" borderId="17" xfId="0" applyNumberFormat="1" applyFont="1" applyBorder="1" applyAlignment="1">
      <alignment horizontal="right" vertical="center"/>
    </xf>
    <xf numFmtId="165" fontId="8" fillId="0" borderId="18" xfId="0" applyNumberFormat="1" applyFont="1" applyBorder="1" applyAlignment="1">
      <alignment horizontal="right" vertical="center"/>
    </xf>
    <xf numFmtId="164" fontId="8" fillId="0" borderId="15" xfId="0" applyNumberFormat="1" applyFont="1" applyBorder="1" applyAlignment="1">
      <alignment horizontal="right" vertical="center"/>
    </xf>
    <xf numFmtId="0" fontId="8" fillId="0" borderId="17" xfId="0" applyFont="1" applyBorder="1" applyAlignment="1">
      <alignment horizontal="right" vertical="center"/>
    </xf>
    <xf numFmtId="164" fontId="8" fillId="0" borderId="17" xfId="0" applyNumberFormat="1" applyFont="1" applyBorder="1" applyAlignment="1">
      <alignment horizontal="right" vertical="center"/>
    </xf>
    <xf numFmtId="164" fontId="8" fillId="0" borderId="18" xfId="0" applyNumberFormat="1" applyFont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11" borderId="0" xfId="0" applyFont="1" applyFill="1" applyAlignment="1">
      <alignment horizontal="left" vertical="center"/>
    </xf>
    <xf numFmtId="0" fontId="10" fillId="0" borderId="0" xfId="0" applyFont="1" applyAlignment="1">
      <alignment vertical="center"/>
    </xf>
    <xf numFmtId="0" fontId="11" fillId="11" borderId="0" xfId="0" applyFont="1" applyFill="1" applyAlignment="1">
      <alignment horizontal="left" vertical="center"/>
    </xf>
    <xf numFmtId="0" fontId="11" fillId="11" borderId="0" xfId="0" applyFont="1" applyFill="1" applyAlignment="1">
      <alignment horizontal="left" vertical="center" wrapText="1"/>
    </xf>
    <xf numFmtId="0" fontId="12" fillId="12" borderId="12" xfId="0" applyFont="1" applyFill="1" applyBorder="1" applyAlignment="1">
      <alignment horizontal="left" vertical="center" wrapText="1"/>
    </xf>
    <xf numFmtId="0" fontId="12" fillId="12" borderId="12" xfId="0" applyFont="1" applyFill="1" applyBorder="1" applyAlignment="1">
      <alignment horizontal="left" vertical="center"/>
    </xf>
    <xf numFmtId="0" fontId="12" fillId="12" borderId="13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15" fillId="0" borderId="17" xfId="0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0" fontId="5" fillId="0" borderId="0" xfId="0" applyFont="1"/>
    <xf numFmtId="0" fontId="0" fillId="0" borderId="0" xfId="0"/>
    <xf numFmtId="0" fontId="9" fillId="6" borderId="0" xfId="0" applyFont="1" applyFill="1" applyAlignment="1">
      <alignment horizontal="left"/>
    </xf>
    <xf numFmtId="0" fontId="10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right" vertical="center"/>
    </xf>
    <xf numFmtId="165" fontId="13" fillId="8" borderId="0" xfId="0" applyNumberFormat="1" applyFont="1" applyFill="1" applyAlignment="1">
      <alignment horizontal="right" vertical="center"/>
    </xf>
    <xf numFmtId="0" fontId="15" fillId="0" borderId="0" xfId="0" applyFont="1" applyAlignment="1">
      <alignment horizontal="left" vertical="center"/>
    </xf>
    <xf numFmtId="2" fontId="13" fillId="8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65" fontId="12" fillId="7" borderId="0" xfId="0" applyNumberFormat="1" applyFont="1" applyFill="1" applyAlignment="1">
      <alignment horizontal="right" vertical="center"/>
    </xf>
    <xf numFmtId="0" fontId="18" fillId="7" borderId="0" xfId="0" applyFont="1" applyFill="1" applyAlignment="1">
      <alignment horizontal="left" vertical="center"/>
    </xf>
    <xf numFmtId="165" fontId="13" fillId="9" borderId="0" xfId="0" applyNumberFormat="1" applyFont="1" applyFill="1" applyAlignment="1">
      <alignment horizontal="right" vertical="center"/>
    </xf>
    <xf numFmtId="49" fontId="13" fillId="8" borderId="0" xfId="0" applyNumberFormat="1" applyFont="1" applyFill="1" applyAlignment="1">
      <alignment horizontal="right" vertical="center"/>
    </xf>
    <xf numFmtId="166" fontId="13" fillId="8" borderId="0" xfId="0" applyNumberFormat="1" applyFont="1" applyFill="1" applyAlignment="1">
      <alignment horizontal="right" vertical="center"/>
    </xf>
    <xf numFmtId="164" fontId="13" fillId="8" borderId="0" xfId="0" applyNumberFormat="1" applyFont="1" applyFill="1" applyAlignment="1">
      <alignment horizontal="right" vertical="center"/>
    </xf>
    <xf numFmtId="0" fontId="11" fillId="6" borderId="0" xfId="0" applyFont="1" applyFill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right" vertical="center"/>
    </xf>
    <xf numFmtId="166" fontId="12" fillId="0" borderId="0" xfId="0" applyNumberFormat="1" applyFont="1" applyAlignment="1">
      <alignment horizontal="right" vertical="center"/>
    </xf>
    <xf numFmtId="165" fontId="12" fillId="6" borderId="0" xfId="0" applyNumberFormat="1" applyFont="1" applyFill="1" applyAlignment="1">
      <alignment horizontal="right" vertical="center"/>
    </xf>
    <xf numFmtId="0" fontId="18" fillId="6" borderId="0" xfId="0" applyFont="1" applyFill="1" applyAlignment="1">
      <alignment horizontal="left" vertical="center"/>
    </xf>
    <xf numFmtId="165" fontId="19" fillId="7" borderId="0" xfId="0" applyNumberFormat="1" applyFont="1" applyFill="1" applyAlignment="1">
      <alignment horizontal="right" vertical="center"/>
    </xf>
    <xf numFmtId="165" fontId="19" fillId="7" borderId="0" xfId="0" applyNumberFormat="1" applyFont="1" applyFill="1" applyAlignment="1">
      <alignment horizontal="left" vertical="center"/>
    </xf>
    <xf numFmtId="165" fontId="13" fillId="10" borderId="0" xfId="0" applyNumberFormat="1" applyFont="1" applyFill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8" fillId="10" borderId="0" xfId="0" applyNumberFormat="1" applyFont="1" applyFill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2" fillId="3" borderId="0" xfId="0" applyFont="1" applyFill="1" applyAlignment="1">
      <alignment horizontal="left"/>
    </xf>
    <xf numFmtId="0" fontId="12" fillId="3" borderId="0" xfId="0" applyFont="1" applyFill="1" applyAlignment="1">
      <alignment horizontal="right"/>
    </xf>
    <xf numFmtId="0" fontId="17" fillId="0" borderId="0" xfId="0" applyFont="1" applyAlignment="1">
      <alignment horizontal="left"/>
    </xf>
    <xf numFmtId="164" fontId="16" fillId="4" borderId="0" xfId="0" applyNumberFormat="1" applyFont="1" applyFill="1" applyAlignment="1">
      <alignment horizontal="right"/>
    </xf>
    <xf numFmtId="0" fontId="16" fillId="0" borderId="0" xfId="0" applyFont="1" applyAlignment="1">
      <alignment horizontal="left"/>
    </xf>
    <xf numFmtId="0" fontId="9" fillId="2" borderId="0" xfId="0" applyFont="1" applyFill="1" applyAlignment="1">
      <alignment horizontal="left" vertical="center"/>
    </xf>
    <xf numFmtId="0" fontId="20" fillId="0" borderId="0" xfId="0" applyFont="1"/>
    <xf numFmtId="0" fontId="10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right"/>
    </xf>
    <xf numFmtId="0" fontId="16" fillId="4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64" fontId="14" fillId="0" borderId="0" xfId="0" applyNumberFormat="1" applyFont="1" applyAlignment="1">
      <alignment horizontal="right"/>
    </xf>
    <xf numFmtId="0" fontId="17" fillId="0" borderId="1" xfId="0" applyFont="1" applyBorder="1" applyAlignment="1">
      <alignment horizontal="left"/>
    </xf>
    <xf numFmtId="164" fontId="12" fillId="0" borderId="1" xfId="0" applyNumberFormat="1" applyFont="1" applyBorder="1" applyAlignment="1">
      <alignment horizontal="right"/>
    </xf>
    <xf numFmtId="164" fontId="12" fillId="4" borderId="1" xfId="0" applyNumberFormat="1" applyFont="1" applyFill="1" applyBorder="1" applyAlignment="1">
      <alignment horizontal="right"/>
    </xf>
    <xf numFmtId="165" fontId="16" fillId="0" borderId="0" xfId="0" applyNumberFormat="1" applyFont="1" applyAlignment="1">
      <alignment horizontal="right"/>
    </xf>
    <xf numFmtId="165" fontId="16" fillId="4" borderId="0" xfId="0" applyNumberFormat="1" applyFont="1" applyFill="1" applyAlignment="1">
      <alignment horizontal="right"/>
    </xf>
    <xf numFmtId="164" fontId="16" fillId="0" borderId="0" xfId="0" applyNumberFormat="1" applyFont="1" applyAlignment="1">
      <alignment horizontal="right"/>
    </xf>
    <xf numFmtId="164" fontId="11" fillId="2" borderId="0" xfId="0" applyNumberFormat="1" applyFont="1" applyFill="1" applyAlignment="1">
      <alignment horizontal="right"/>
    </xf>
    <xf numFmtId="164" fontId="17" fillId="0" borderId="0" xfId="0" applyNumberFormat="1" applyFont="1" applyAlignment="1">
      <alignment horizontal="right"/>
    </xf>
    <xf numFmtId="164" fontId="17" fillId="4" borderId="0" xfId="0" applyNumberFormat="1" applyFont="1" applyFill="1" applyAlignment="1">
      <alignment horizontal="right"/>
    </xf>
    <xf numFmtId="0" fontId="17" fillId="5" borderId="1" xfId="0" applyFont="1" applyFill="1" applyBorder="1" applyAlignment="1">
      <alignment horizontal="left"/>
    </xf>
    <xf numFmtId="164" fontId="12" fillId="5" borderId="1" xfId="0" applyNumberFormat="1" applyFont="1" applyFill="1" applyBorder="1" applyAlignment="1">
      <alignment horizontal="right"/>
    </xf>
    <xf numFmtId="0" fontId="6" fillId="0" borderId="0" xfId="0" applyFont="1"/>
    <xf numFmtId="0" fontId="20" fillId="0" borderId="0" xfId="0" applyFont="1"/>
    <xf numFmtId="0" fontId="21" fillId="0" borderId="0" xfId="0" applyFont="1"/>
  </cellXfs>
  <cellStyles count="2"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sqref="A1:I1"/>
    </sheetView>
  </sheetViews>
  <sheetFormatPr defaultColWidth="11.5546875" defaultRowHeight="14.4" x14ac:dyDescent="0.3"/>
  <sheetData>
    <row r="1" spans="1:9" ht="18" x14ac:dyDescent="0.35">
      <c r="A1" s="123" t="s">
        <v>369</v>
      </c>
      <c r="B1" s="124"/>
      <c r="C1" s="124"/>
      <c r="D1" s="124"/>
      <c r="E1" s="124"/>
      <c r="F1" s="124"/>
      <c r="G1" s="124"/>
      <c r="H1" s="124"/>
      <c r="I1" s="124"/>
    </row>
    <row r="2" spans="1:9" ht="14.4" customHeight="1" x14ac:dyDescent="0.35">
      <c r="B2" s="144"/>
      <c r="C2" s="144"/>
      <c r="D2" s="144"/>
      <c r="E2" s="144"/>
      <c r="F2" s="144"/>
      <c r="G2" s="144"/>
      <c r="H2" s="144"/>
      <c r="I2" s="144"/>
    </row>
    <row r="3" spans="1:9" ht="15.6" x14ac:dyDescent="0.3">
      <c r="A3" s="145" t="s">
        <v>358</v>
      </c>
    </row>
    <row r="4" spans="1:9" ht="14.4" customHeight="1" x14ac:dyDescent="0.3">
      <c r="A4" s="145"/>
    </row>
    <row r="5" spans="1:9" x14ac:dyDescent="0.3">
      <c r="A5" s="8" t="s">
        <v>368</v>
      </c>
      <c r="B5" s="1"/>
      <c r="C5" s="1"/>
      <c r="D5" s="1"/>
      <c r="E5" s="1"/>
    </row>
    <row r="6" spans="1:9" x14ac:dyDescent="0.3">
      <c r="A6" s="17" t="s">
        <v>359</v>
      </c>
    </row>
    <row r="7" spans="1:9" x14ac:dyDescent="0.3">
      <c r="A7" s="17" t="s">
        <v>360</v>
      </c>
    </row>
    <row r="8" spans="1:9" x14ac:dyDescent="0.3">
      <c r="A8" s="17" t="s">
        <v>361</v>
      </c>
    </row>
    <row r="9" spans="1:9" x14ac:dyDescent="0.3">
      <c r="A9" s="17"/>
    </row>
    <row r="10" spans="1:9" x14ac:dyDescent="0.3">
      <c r="A10" s="8" t="s">
        <v>362</v>
      </c>
    </row>
    <row r="11" spans="1:9" x14ac:dyDescent="0.3">
      <c r="A11" s="8" t="s">
        <v>363</v>
      </c>
    </row>
    <row r="12" spans="1:9" x14ac:dyDescent="0.3">
      <c r="A12" s="8" t="s">
        <v>364</v>
      </c>
    </row>
    <row r="13" spans="1:9" x14ac:dyDescent="0.3">
      <c r="A13" s="8" t="s">
        <v>365</v>
      </c>
    </row>
    <row r="14" spans="1:9" x14ac:dyDescent="0.3">
      <c r="A14" s="8" t="s">
        <v>366</v>
      </c>
    </row>
    <row r="17" spans="1:9" x14ac:dyDescent="0.3">
      <c r="A17" s="86" t="s">
        <v>367</v>
      </c>
      <c r="B17" s="87"/>
      <c r="C17" s="87"/>
      <c r="D17" s="87"/>
      <c r="E17" s="87"/>
      <c r="F17" s="87"/>
      <c r="G17" s="87"/>
      <c r="H17" s="87"/>
      <c r="I17" s="87"/>
    </row>
  </sheetData>
  <mergeCells count="2">
    <mergeCell ref="A17:I17"/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workbookViewId="0"/>
  </sheetViews>
  <sheetFormatPr defaultColWidth="11.5546875" defaultRowHeight="14.4" x14ac:dyDescent="0.3"/>
  <cols>
    <col min="1" max="1" width="31.6640625" customWidth="1"/>
  </cols>
  <sheetData>
    <row r="1" spans="1:6" x14ac:dyDescent="0.3">
      <c r="A1" s="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</row>
    <row r="2" spans="1:6" x14ac:dyDescent="0.3">
      <c r="A2" s="12" t="s">
        <v>6</v>
      </c>
      <c r="B2" s="16">
        <v>7.0000000000000007E-2</v>
      </c>
      <c r="C2" s="16">
        <v>0.06</v>
      </c>
      <c r="D2" s="16">
        <v>5.5E-2</v>
      </c>
      <c r="E2" s="16">
        <v>0.05</v>
      </c>
      <c r="F2" s="16">
        <v>4.4999999999999998E-2</v>
      </c>
    </row>
    <row r="3" spans="1:6" x14ac:dyDescent="0.3">
      <c r="A3" s="12" t="s">
        <v>7</v>
      </c>
      <c r="B3" s="16">
        <v>0.58499999999999996</v>
      </c>
      <c r="C3" s="16">
        <v>0.58499999999999996</v>
      </c>
      <c r="D3" s="16">
        <v>0.58399999999999996</v>
      </c>
      <c r="E3" s="16">
        <v>0.58299999999999996</v>
      </c>
      <c r="F3" s="16">
        <v>0.58299999999999996</v>
      </c>
    </row>
    <row r="4" spans="1:6" x14ac:dyDescent="0.3">
      <c r="A4" s="12" t="s">
        <v>8</v>
      </c>
      <c r="B4" s="16">
        <v>0.29899999999999999</v>
      </c>
      <c r="C4" s="16">
        <v>0.29799999999999999</v>
      </c>
      <c r="D4" s="16">
        <v>0.29799999999999999</v>
      </c>
      <c r="E4" s="16">
        <v>0.29699999999999999</v>
      </c>
      <c r="F4" s="16">
        <v>0.29699999999999999</v>
      </c>
    </row>
    <row r="5" spans="1:6" x14ac:dyDescent="0.3">
      <c r="A5" s="12" t="s">
        <v>9</v>
      </c>
      <c r="B5" s="16">
        <v>8.2000000000000003E-2</v>
      </c>
      <c r="C5" s="16">
        <v>8.2000000000000003E-2</v>
      </c>
      <c r="D5" s="16">
        <v>8.2000000000000003E-2</v>
      </c>
      <c r="E5" s="16">
        <v>8.2000000000000003E-2</v>
      </c>
      <c r="F5" s="16">
        <v>8.2000000000000003E-2</v>
      </c>
    </row>
    <row r="6" spans="1:6" x14ac:dyDescent="0.3">
      <c r="A6" s="12" t="s">
        <v>10</v>
      </c>
      <c r="B6" s="16">
        <v>0.224</v>
      </c>
      <c r="C6" s="16">
        <v>0.224</v>
      </c>
      <c r="D6" s="16">
        <v>0.224</v>
      </c>
      <c r="E6" s="16">
        <v>0.224</v>
      </c>
      <c r="F6" s="16">
        <v>0.224</v>
      </c>
    </row>
    <row r="7" spans="1:6" x14ac:dyDescent="0.3">
      <c r="A7" s="11" t="s">
        <v>11</v>
      </c>
      <c r="B7" s="15">
        <v>-2E-3</v>
      </c>
      <c r="C7" s="15">
        <v>-2E-3</v>
      </c>
      <c r="D7" s="15">
        <v>-2E-3</v>
      </c>
      <c r="E7" s="15">
        <v>-2E-3</v>
      </c>
      <c r="F7" s="15">
        <v>-2E-3</v>
      </c>
    </row>
    <row r="8" spans="1:6" x14ac:dyDescent="0.3">
      <c r="A8" s="17" t="s">
        <v>12</v>
      </c>
      <c r="B8" s="15">
        <v>-2E-3</v>
      </c>
      <c r="C8" s="15">
        <v>-2E-3</v>
      </c>
      <c r="D8" s="15">
        <v>-2E-3</v>
      </c>
      <c r="E8" s="15">
        <v>-2E-3</v>
      </c>
      <c r="F8" s="15">
        <v>-2E-3</v>
      </c>
    </row>
    <row r="9" spans="1:6" x14ac:dyDescent="0.3">
      <c r="A9" s="17" t="s">
        <v>13</v>
      </c>
      <c r="B9" s="14">
        <v>2.5000000000000001E-3</v>
      </c>
      <c r="C9" s="14">
        <v>2.5000000000000001E-3</v>
      </c>
      <c r="D9" s="14">
        <v>2.5000000000000001E-3</v>
      </c>
      <c r="E9" s="14">
        <v>2.5000000000000001E-3</v>
      </c>
      <c r="F9" s="14">
        <v>2.5000000000000001E-3</v>
      </c>
    </row>
    <row r="12" spans="1:6" x14ac:dyDescent="0.3">
      <c r="A12" s="18" t="s">
        <v>14</v>
      </c>
      <c r="B12" s="13" t="s">
        <v>1</v>
      </c>
      <c r="C12" s="13" t="s">
        <v>2</v>
      </c>
      <c r="D12" s="13" t="s">
        <v>3</v>
      </c>
      <c r="E12" s="13" t="s">
        <v>4</v>
      </c>
      <c r="F12" s="13" t="s">
        <v>5</v>
      </c>
    </row>
    <row r="13" spans="1:6" x14ac:dyDescent="0.3">
      <c r="A13" s="12" t="s">
        <v>15</v>
      </c>
      <c r="B13" s="19">
        <v>11</v>
      </c>
      <c r="C13" s="19">
        <v>11</v>
      </c>
      <c r="D13" s="19">
        <v>11</v>
      </c>
      <c r="E13" s="19">
        <v>11</v>
      </c>
      <c r="F13" s="19">
        <v>11</v>
      </c>
    </row>
    <row r="14" spans="1:6" x14ac:dyDescent="0.3">
      <c r="A14" s="12" t="s">
        <v>16</v>
      </c>
      <c r="B14" s="19">
        <v>70</v>
      </c>
      <c r="C14" s="19">
        <v>70</v>
      </c>
      <c r="D14" s="19">
        <v>70</v>
      </c>
      <c r="E14" s="19">
        <v>70</v>
      </c>
      <c r="F14" s="19">
        <v>70</v>
      </c>
    </row>
    <row r="15" spans="1:6" x14ac:dyDescent="0.3">
      <c r="A15" s="12" t="s">
        <v>17</v>
      </c>
      <c r="B15" s="19">
        <v>180</v>
      </c>
      <c r="C15" s="19">
        <v>180</v>
      </c>
      <c r="D15" s="19">
        <v>180</v>
      </c>
      <c r="E15" s="19">
        <v>180</v>
      </c>
      <c r="F15" s="19">
        <v>180</v>
      </c>
    </row>
    <row r="16" spans="1:6" x14ac:dyDescent="0.3">
      <c r="A16" s="12" t="s">
        <v>18</v>
      </c>
      <c r="B16" s="16">
        <v>3.0000000000000001E-3</v>
      </c>
      <c r="C16" s="16">
        <v>3.0000000000000001E-3</v>
      </c>
      <c r="D16" s="16">
        <v>3.0000000000000001E-3</v>
      </c>
      <c r="E16" s="16">
        <v>3.0000000000000001E-3</v>
      </c>
      <c r="F16" s="16">
        <v>3.0000000000000001E-3</v>
      </c>
    </row>
    <row r="17" spans="1:6" x14ac:dyDescent="0.3">
      <c r="A17" s="12" t="s">
        <v>19</v>
      </c>
      <c r="B17" s="16">
        <v>0.1</v>
      </c>
      <c r="C17" s="16">
        <v>0.1</v>
      </c>
      <c r="D17" s="16">
        <v>0.1</v>
      </c>
      <c r="E17" s="16">
        <v>0.1</v>
      </c>
      <c r="F17" s="16">
        <v>0.1</v>
      </c>
    </row>
    <row r="18" spans="1:6" x14ac:dyDescent="0.3">
      <c r="A18" s="12" t="s">
        <v>20</v>
      </c>
      <c r="B18" s="16">
        <f>AVERAGE(Assumptions!$B$40:$D$40)</f>
        <v>6.0642193570386096E-3</v>
      </c>
      <c r="C18" s="16">
        <f>AVERAGE(Assumptions!$B$40:$D$40)</f>
        <v>6.0642193570386096E-3</v>
      </c>
      <c r="D18" s="16">
        <f>AVERAGE(Assumptions!$B$40:$D$40)</f>
        <v>6.0642193570386096E-3</v>
      </c>
      <c r="E18" s="16">
        <f>AVERAGE(Assumptions!$B$40:$D$40)</f>
        <v>6.0642193570386096E-3</v>
      </c>
      <c r="F18" s="16">
        <f>AVERAGE(Assumptions!$B$40:$D$40)</f>
        <v>6.0642193570386096E-3</v>
      </c>
    </row>
    <row r="19" spans="1:6" x14ac:dyDescent="0.3">
      <c r="A19" s="12" t="s">
        <v>21</v>
      </c>
      <c r="B19" s="20">
        <v>0.85</v>
      </c>
      <c r="C19" s="20">
        <v>0.85</v>
      </c>
      <c r="D19" s="20">
        <v>0.85</v>
      </c>
      <c r="E19" s="20">
        <v>0.85</v>
      </c>
      <c r="F19" s="20">
        <v>0.85</v>
      </c>
    </row>
    <row r="20" spans="1:6" x14ac:dyDescent="0.3">
      <c r="A20" s="12" t="s">
        <v>22</v>
      </c>
      <c r="B20" s="14">
        <f>AVERAGE(Assumptions!$B$38:$D$38)</f>
        <v>0.13906809384359609</v>
      </c>
      <c r="C20" s="14">
        <f>AVERAGE(Assumptions!$B$38:$D$38)</f>
        <v>0.13906809384359609</v>
      </c>
      <c r="D20" s="14">
        <f>AVERAGE(Assumptions!$B$38:$D$38)</f>
        <v>0.13906809384359609</v>
      </c>
      <c r="E20" s="14">
        <f>AVERAGE(Assumptions!$B$38:$D$38)</f>
        <v>0.13906809384359609</v>
      </c>
      <c r="F20" s="14">
        <f>AVERAGE(Assumptions!$B$38:$D$38)</f>
        <v>0.13906809384359609</v>
      </c>
    </row>
    <row r="21" spans="1:6" x14ac:dyDescent="0.3">
      <c r="A21" s="12" t="s">
        <v>23</v>
      </c>
      <c r="B21" s="14">
        <f>AVERAGE(Assumptions!$B$39:$D$39)</f>
        <v>3.7253855716183178E-2</v>
      </c>
      <c r="C21" s="14">
        <f>AVERAGE(Assumptions!$B$39:$D$39)</f>
        <v>3.7253855716183178E-2</v>
      </c>
      <c r="D21" s="14">
        <f>AVERAGE(Assumptions!$B$39:$D$39)</f>
        <v>3.7253855716183178E-2</v>
      </c>
      <c r="E21" s="14">
        <f>AVERAGE(Assumptions!$B$39:$D$39)</f>
        <v>3.7253855716183178E-2</v>
      </c>
      <c r="F21" s="14">
        <f>AVERAGE(Assumptions!$B$39:$D$39)</f>
        <v>3.7253855716183178E-2</v>
      </c>
    </row>
    <row r="22" spans="1:6" x14ac:dyDescent="0.3">
      <c r="A22" s="12" t="s">
        <v>24</v>
      </c>
      <c r="B22" s="14">
        <f>AVERAGE(Assumptions!$B$41:$D$41)</f>
        <v>9.2442942154128942E-3</v>
      </c>
      <c r="C22" s="14">
        <f>AVERAGE(Assumptions!$B$41:$D$41)</f>
        <v>9.2442942154128942E-3</v>
      </c>
      <c r="D22" s="14">
        <f>AVERAGE(Assumptions!$B$41:$D$41)</f>
        <v>9.2442942154128942E-3</v>
      </c>
      <c r="E22" s="14">
        <f>AVERAGE(Assumptions!$B$41:$D$41)</f>
        <v>9.2442942154128942E-3</v>
      </c>
      <c r="F22" s="14">
        <f>AVERAGE(Assumptions!$B$41:$D$41)</f>
        <v>9.2442942154128942E-3</v>
      </c>
    </row>
    <row r="23" spans="1:6" x14ac:dyDescent="0.3">
      <c r="A23" s="12" t="s">
        <v>25</v>
      </c>
      <c r="B23" s="14">
        <f>AVERAGE(Assumptions!$B$42:$D$42)</f>
        <v>6.3969840647837761E-3</v>
      </c>
      <c r="C23" s="14">
        <f>AVERAGE(Assumptions!$B$42:$D$42)</f>
        <v>6.3969840647837761E-3</v>
      </c>
      <c r="D23" s="14">
        <f>AVERAGE(Assumptions!$B$42:$D$42)</f>
        <v>6.3969840647837761E-3</v>
      </c>
      <c r="E23" s="14">
        <f>AVERAGE(Assumptions!$B$42:$D$42)</f>
        <v>6.3969840647837761E-3</v>
      </c>
      <c r="F23" s="14">
        <f>AVERAGE(Assumptions!$B$42:$D$42)</f>
        <v>6.3969840647837761E-3</v>
      </c>
    </row>
    <row r="24" spans="1:6" x14ac:dyDescent="0.3">
      <c r="A24" s="12" t="s">
        <v>26</v>
      </c>
      <c r="B24" s="14">
        <f>AVERAGE(Assumptions!$B$43:$D$43)</f>
        <v>0.15045612166417996</v>
      </c>
      <c r="C24" s="14">
        <f>AVERAGE(Assumptions!$B$43:$D$43)</f>
        <v>0.15045612166417996</v>
      </c>
      <c r="D24" s="14">
        <f>AVERAGE(Assumptions!$B$43:$D$43)</f>
        <v>0.15045612166417996</v>
      </c>
      <c r="E24" s="14">
        <f>AVERAGE(Assumptions!$B$43:$D$43)</f>
        <v>0.15045612166417996</v>
      </c>
      <c r="F24" s="14">
        <f>AVERAGE(Assumptions!$B$43:$D$43)</f>
        <v>0.15045612166417996</v>
      </c>
    </row>
    <row r="25" spans="1:6" x14ac:dyDescent="0.3">
      <c r="A25" s="12" t="s">
        <v>27</v>
      </c>
      <c r="B25" s="14">
        <f>AVERAGE(Assumptions!$B$44:$D$44)</f>
        <v>0.73795542175717754</v>
      </c>
      <c r="C25" s="14">
        <f>AVERAGE(Assumptions!$B$44:$D$44)</f>
        <v>0.73795542175717754</v>
      </c>
      <c r="D25" s="14">
        <f>AVERAGE(Assumptions!$B$44:$D$44)</f>
        <v>0.73795542175717754</v>
      </c>
      <c r="E25" s="14">
        <f>AVERAGE(Assumptions!$B$44:$D$44)</f>
        <v>0.73795542175717754</v>
      </c>
      <c r="F25" s="14">
        <f>AVERAGE(Assumptions!$B$44:$D$44)</f>
        <v>0.73795542175717754</v>
      </c>
    </row>
    <row r="26" spans="1:6" x14ac:dyDescent="0.3">
      <c r="A26" s="17" t="s">
        <v>28</v>
      </c>
      <c r="B26" s="14">
        <f>AVERAGE(Assumptions!$B$45:$D$45)</f>
        <v>5.0353084576849151E-2</v>
      </c>
      <c r="C26" s="14">
        <f>AVERAGE(Assumptions!$B$45:$D$45)</f>
        <v>5.0353084576849151E-2</v>
      </c>
      <c r="D26" s="14">
        <f>AVERAGE(Assumptions!$B$45:$D$45)</f>
        <v>5.0353084576849151E-2</v>
      </c>
      <c r="E26" s="14">
        <f>AVERAGE(Assumptions!$B$45:$D$45)</f>
        <v>5.0353084576849151E-2</v>
      </c>
      <c r="F26" s="14">
        <f>AVERAGE(Assumptions!$B$45:$D$45)</f>
        <v>5.0353084576849151E-2</v>
      </c>
    </row>
    <row r="27" spans="1:6" x14ac:dyDescent="0.3">
      <c r="A27" s="12" t="s">
        <v>29</v>
      </c>
      <c r="B27" s="22">
        <v>0.1</v>
      </c>
      <c r="C27" s="22">
        <v>0.1</v>
      </c>
      <c r="D27" s="22">
        <v>0.1</v>
      </c>
      <c r="E27" s="22">
        <v>0.1</v>
      </c>
      <c r="F27" s="22">
        <v>0.1</v>
      </c>
    </row>
    <row r="28" spans="1:6" x14ac:dyDescent="0.3">
      <c r="A28" s="17" t="s">
        <v>30</v>
      </c>
      <c r="B28" s="22">
        <v>0.4</v>
      </c>
      <c r="C28" s="22">
        <v>0.4</v>
      </c>
      <c r="D28" s="22">
        <v>0.4</v>
      </c>
      <c r="E28" s="22">
        <v>0.4</v>
      </c>
      <c r="F28" s="22">
        <v>0.4</v>
      </c>
    </row>
    <row r="29" spans="1:6" x14ac:dyDescent="0.3">
      <c r="A29" s="17" t="s">
        <v>31</v>
      </c>
      <c r="B29" s="23">
        <f>'Historical Data'!$D$69/'Historical Data'!$D$3</f>
        <v>5.3933373469797312E-3</v>
      </c>
      <c r="C29" s="23">
        <f>'Historical Data'!$D$69/'Historical Data'!$D$3</f>
        <v>5.3933373469797312E-3</v>
      </c>
      <c r="D29" s="23">
        <f>'Historical Data'!$D$69/'Historical Data'!$D$3</f>
        <v>5.3933373469797312E-3</v>
      </c>
      <c r="E29" s="23">
        <f>'Historical Data'!$D$69/'Historical Data'!$D$3</f>
        <v>5.3933373469797312E-3</v>
      </c>
      <c r="F29" s="23">
        <f>'Historical Data'!$D$69/'Historical Data'!$D$3</f>
        <v>5.3933373469797312E-3</v>
      </c>
    </row>
    <row r="30" spans="1:6" x14ac:dyDescent="0.3">
      <c r="A30" s="12" t="s">
        <v>32</v>
      </c>
      <c r="B30" s="23">
        <v>0</v>
      </c>
      <c r="C30" s="23">
        <v>0</v>
      </c>
      <c r="D30" s="23">
        <v>0</v>
      </c>
      <c r="E30" s="23">
        <v>0</v>
      </c>
      <c r="F30" s="23">
        <v>0</v>
      </c>
    </row>
    <row r="31" spans="1:6" x14ac:dyDescent="0.3">
      <c r="A31" s="17" t="s">
        <v>33</v>
      </c>
      <c r="B31" s="23">
        <f>-'Historical Data'!$D$80/'Historical Data'!$D$3</f>
        <v>1.3019265502709211E-2</v>
      </c>
      <c r="C31" s="23">
        <f>-'Historical Data'!$D$80/'Historical Data'!$D$3</f>
        <v>1.3019265502709211E-2</v>
      </c>
      <c r="D31" s="23">
        <f>-'Historical Data'!$D$80/'Historical Data'!$D$3</f>
        <v>1.3019265502709211E-2</v>
      </c>
      <c r="E31" s="23">
        <f>-'Historical Data'!$D$80/'Historical Data'!$D$3</f>
        <v>1.3019265502709211E-2</v>
      </c>
      <c r="F31" s="23">
        <f>-'Historical Data'!$D$80/'Historical Data'!$D$3</f>
        <v>1.3019265502709211E-2</v>
      </c>
    </row>
    <row r="32" spans="1:6" x14ac:dyDescent="0.3">
      <c r="A32" s="17" t="s">
        <v>34</v>
      </c>
      <c r="B32" s="23">
        <f>-'Historical Data'!$D$92/'Historical Data'!$D$3</f>
        <v>4.6006421834236401E-2</v>
      </c>
      <c r="C32" s="23">
        <f>-'Historical Data'!$D$92/'Historical Data'!$D$3</f>
        <v>4.6006421834236401E-2</v>
      </c>
      <c r="D32" s="23">
        <f>-'Historical Data'!$D$92/'Historical Data'!$D$3</f>
        <v>4.6006421834236401E-2</v>
      </c>
      <c r="E32" s="23">
        <f>-'Historical Data'!$D$92/'Historical Data'!$D$3</f>
        <v>4.6006421834236401E-2</v>
      </c>
      <c r="F32" s="23">
        <f>-'Historical Data'!$D$92/'Historical Data'!$D$3</f>
        <v>4.6006421834236401E-2</v>
      </c>
    </row>
    <row r="33" spans="1:6" x14ac:dyDescent="0.3">
      <c r="A33" s="17" t="s">
        <v>35</v>
      </c>
      <c r="B33" s="23">
        <v>5.5E-2</v>
      </c>
      <c r="C33" s="23">
        <v>5.5E-2</v>
      </c>
      <c r="D33" s="23">
        <v>5.5E-2</v>
      </c>
      <c r="E33" s="23">
        <v>5.5E-2</v>
      </c>
      <c r="F33" s="23">
        <v>5.5E-2</v>
      </c>
    </row>
    <row r="34" spans="1:6" x14ac:dyDescent="0.3">
      <c r="A34" s="17" t="s">
        <v>36</v>
      </c>
      <c r="B34" s="25">
        <v>0.3</v>
      </c>
      <c r="C34" s="25">
        <v>0.3</v>
      </c>
      <c r="D34" s="25">
        <v>0.3</v>
      </c>
      <c r="E34" s="25">
        <v>0.3</v>
      </c>
      <c r="F34" s="25">
        <v>0.3</v>
      </c>
    </row>
    <row r="36" spans="1:6" x14ac:dyDescent="0.3">
      <c r="A36" s="17" t="s">
        <v>37</v>
      </c>
      <c r="B36" s="24" t="s">
        <v>38</v>
      </c>
      <c r="C36" s="24" t="s">
        <v>39</v>
      </c>
      <c r="D36" s="24" t="s">
        <v>40</v>
      </c>
    </row>
    <row r="37" spans="1:6" x14ac:dyDescent="0.3">
      <c r="A37" s="17" t="s">
        <v>41</v>
      </c>
      <c r="B37" s="10">
        <f>SUM('3-Statement'!B28:B32)</f>
        <v>14878</v>
      </c>
      <c r="C37" s="10">
        <f>SUM('3-Statement'!C28:C32)</f>
        <v>16890</v>
      </c>
      <c r="D37" s="10">
        <f>SUM('3-Statement'!D28:D32)</f>
        <v>18523</v>
      </c>
    </row>
    <row r="38" spans="1:6" x14ac:dyDescent="0.3">
      <c r="A38" s="9" t="s">
        <v>42</v>
      </c>
      <c r="B38" s="21">
        <f>'3-Statement'!B28/'3-Statement'!B6</f>
        <v>0.14179208278854982</v>
      </c>
      <c r="C38" s="21">
        <f>'3-Statement'!C28/'3-Statement'!C6</f>
        <v>0.1363895216400911</v>
      </c>
      <c r="D38" s="21">
        <f>'3-Statement'!D28/'3-Statement'!D6</f>
        <v>0.1390226771021473</v>
      </c>
    </row>
    <row r="39" spans="1:6" x14ac:dyDescent="0.3">
      <c r="A39" s="9" t="s">
        <v>43</v>
      </c>
      <c r="B39" s="21">
        <f>'3-Statement'!B29/'3-Statement'!B6</f>
        <v>3.4022310623974185E-2</v>
      </c>
      <c r="C39" s="21">
        <f>'3-Statement'!C29/'3-Statement'!C6</f>
        <v>3.6524125077655831E-2</v>
      </c>
      <c r="D39" s="21">
        <f>'3-Statement'!D29/'3-Statement'!D6</f>
        <v>4.1215131446919524E-2</v>
      </c>
    </row>
    <row r="40" spans="1:6" x14ac:dyDescent="0.3">
      <c r="A40" s="9" t="s">
        <v>44</v>
      </c>
      <c r="B40" s="21">
        <f>'3-Statement'!B34/'3-Statement'!B6</f>
        <v>7.4832392132862273E-3</v>
      </c>
      <c r="C40" s="21">
        <f>'3-Statement'!C34/'3-Statement'!C6</f>
        <v>5.6171049906813004E-3</v>
      </c>
      <c r="D40" s="21">
        <f>'3-Statement'!D34/'3-Statement'!D6</f>
        <v>5.0923138671483039E-3</v>
      </c>
    </row>
    <row r="41" spans="1:6" x14ac:dyDescent="0.3">
      <c r="A41" s="9" t="s">
        <v>45</v>
      </c>
      <c r="B41" s="21">
        <f>'3-Statement'!B56/'3-Statement'!B6</f>
        <v>1.0070381394831279E-2</v>
      </c>
      <c r="C41" s="21">
        <f>'3-Statement'!C56/'3-Statement'!C6</f>
        <v>9.0080762062538823E-3</v>
      </c>
      <c r="D41" s="21">
        <f>'3-Statement'!D56/'3-Statement'!D6</f>
        <v>8.6544250451535219E-3</v>
      </c>
    </row>
    <row r="42" spans="1:6" x14ac:dyDescent="0.3">
      <c r="A42" s="9" t="s">
        <v>46</v>
      </c>
      <c r="B42" s="21">
        <f>'3-Statement'!B57/'3-Statement'!B6</f>
        <v>6.8990458174534733E-3</v>
      </c>
      <c r="C42" s="21">
        <f>'3-Statement'!C57/'3-Statement'!C6</f>
        <v>6.4972043901428871E-3</v>
      </c>
      <c r="D42" s="21">
        <f>'3-Statement'!D57/'3-Statement'!D6</f>
        <v>5.794701986754967E-3</v>
      </c>
    </row>
    <row r="43" spans="1:6" x14ac:dyDescent="0.3">
      <c r="A43" s="9" t="s">
        <v>47</v>
      </c>
      <c r="B43" s="21">
        <f>SUM('3-Statement'!B59,'3-Statement'!B66)/'3-Statement'!B6</f>
        <v>0.15442178763179124</v>
      </c>
      <c r="C43" s="21">
        <f>SUM('3-Statement'!C59,'3-Statement'!C66)/'3-Statement'!C6</f>
        <v>0.148115551874094</v>
      </c>
      <c r="D43" s="21">
        <f>SUM('3-Statement'!D59,'3-Statement'!D66)/'3-Statement'!D6</f>
        <v>0.14883102548665464</v>
      </c>
    </row>
    <row r="44" spans="1:6" x14ac:dyDescent="0.3">
      <c r="A44" s="9" t="s">
        <v>48</v>
      </c>
      <c r="B44" s="21">
        <f>'3-Statement'!B59/SUM('3-Statement'!B59,'3-Statement'!B66)</f>
        <v>0.74274905422446402</v>
      </c>
      <c r="C44" s="21">
        <f>'3-Statement'!C59/SUM('3-Statement'!C59,'3-Statement'!C66)</f>
        <v>0.73051380636141205</v>
      </c>
      <c r="D44" s="21">
        <f>'3-Statement'!D59/SUM('3-Statement'!D59,'3-Statement'!D66)</f>
        <v>0.74060340468565655</v>
      </c>
    </row>
    <row r="45" spans="1:6" x14ac:dyDescent="0.3">
      <c r="A45" s="9" t="s">
        <v>49</v>
      </c>
      <c r="B45" s="21">
        <f>-'3-Statement'!B95/'3-Statement'!B6</f>
        <v>3.8918407655715359E-2</v>
      </c>
      <c r="C45" s="21">
        <f>-'3-Statement'!C95/'3-Statement'!C6</f>
        <v>5.7128805135638845E-2</v>
      </c>
      <c r="D45" s="21">
        <f>-'3-Statement'!D95/'3-Statement'!D6</f>
        <v>5.5012040939193256E-2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"/>
  <sheetViews>
    <sheetView workbookViewId="0"/>
  </sheetViews>
  <sheetFormatPr defaultColWidth="11.5546875" defaultRowHeight="14.4" x14ac:dyDescent="0.3"/>
  <cols>
    <col min="1" max="1" width="54.21875" customWidth="1"/>
  </cols>
  <sheetData>
    <row r="1" spans="1:4" x14ac:dyDescent="0.3">
      <c r="A1" s="4" t="s">
        <v>50</v>
      </c>
      <c r="B1" s="4" t="s">
        <v>38</v>
      </c>
      <c r="C1" s="4" t="s">
        <v>39</v>
      </c>
      <c r="D1" s="4" t="s">
        <v>40</v>
      </c>
    </row>
    <row r="2" spans="1:4" ht="18" x14ac:dyDescent="0.3">
      <c r="A2" s="6" t="s">
        <v>51</v>
      </c>
      <c r="B2" s="2"/>
      <c r="C2" s="2"/>
    </row>
    <row r="3" spans="1:4" x14ac:dyDescent="0.3">
      <c r="A3" s="4" t="s">
        <v>52</v>
      </c>
      <c r="B3" s="5">
        <v>35947</v>
      </c>
      <c r="C3" s="5">
        <v>38632</v>
      </c>
      <c r="D3" s="5">
        <v>39864</v>
      </c>
    </row>
    <row r="4" spans="1:4" x14ac:dyDescent="0.3">
      <c r="A4" s="4" t="s">
        <v>53</v>
      </c>
      <c r="B4" s="5">
        <v>-15186</v>
      </c>
      <c r="C4" s="5">
        <v>-16288</v>
      </c>
      <c r="D4" s="5">
        <v>-16642</v>
      </c>
    </row>
    <row r="5" spans="1:4" x14ac:dyDescent="0.3">
      <c r="A5" s="8" t="s">
        <v>54</v>
      </c>
      <c r="B5" s="5">
        <f>SUM(B3:B4)</f>
        <v>20761</v>
      </c>
      <c r="C5" s="5">
        <f>SUM(C3:C4)</f>
        <v>22344</v>
      </c>
      <c r="D5" s="5">
        <f>SUM(D3:D4)</f>
        <v>23222</v>
      </c>
    </row>
    <row r="6" spans="1:4" x14ac:dyDescent="0.3">
      <c r="A6" s="4" t="s">
        <v>55</v>
      </c>
      <c r="B6" s="5">
        <v>-10853</v>
      </c>
      <c r="C6" s="5">
        <v>-11555</v>
      </c>
      <c r="D6" s="5">
        <v>-11878</v>
      </c>
    </row>
    <row r="7" spans="1:4" x14ac:dyDescent="0.3">
      <c r="A7" s="4" t="s">
        <v>56</v>
      </c>
      <c r="B7">
        <v>-59</v>
      </c>
      <c r="C7">
        <v>-60</v>
      </c>
      <c r="D7">
        <v>-77</v>
      </c>
    </row>
    <row r="8" spans="1:4" x14ac:dyDescent="0.3">
      <c r="A8" s="8" t="s">
        <v>57</v>
      </c>
      <c r="B8" s="5">
        <f>SUM(B5:B7)</f>
        <v>9849</v>
      </c>
      <c r="C8" s="5">
        <f>SUM(C5:C7)</f>
        <v>10729</v>
      </c>
      <c r="D8" s="5">
        <f>SUM(D5:D7)</f>
        <v>11267</v>
      </c>
    </row>
    <row r="9" spans="1:4" x14ac:dyDescent="0.3">
      <c r="A9" t="s">
        <v>58</v>
      </c>
      <c r="B9" s="5">
        <v>-3041</v>
      </c>
      <c r="C9" s="5">
        <v>-3174</v>
      </c>
      <c r="D9" s="5">
        <v>-3270</v>
      </c>
    </row>
    <row r="10" spans="1:4" x14ac:dyDescent="0.3">
      <c r="A10" s="8" t="s">
        <v>59</v>
      </c>
      <c r="B10" s="5">
        <f>SUM(B8:B9)</f>
        <v>6808</v>
      </c>
      <c r="C10" s="5">
        <f>SUM(C8:C9)</f>
        <v>7555</v>
      </c>
      <c r="D10" s="5">
        <f>SUM(D8:D9)</f>
        <v>7997</v>
      </c>
    </row>
    <row r="11" spans="1:4" x14ac:dyDescent="0.3">
      <c r="A11" s="4" t="s">
        <v>60</v>
      </c>
      <c r="B11">
        <v>-11</v>
      </c>
      <c r="C11">
        <v>-77</v>
      </c>
      <c r="D11">
        <v>-80</v>
      </c>
    </row>
    <row r="12" spans="1:4" x14ac:dyDescent="0.3">
      <c r="A12" t="s">
        <v>61</v>
      </c>
      <c r="B12">
        <v>72</v>
      </c>
      <c r="C12">
        <v>99</v>
      </c>
      <c r="D12">
        <v>102</v>
      </c>
    </row>
    <row r="13" spans="1:4" x14ac:dyDescent="0.3">
      <c r="A13" s="8" t="s">
        <v>62</v>
      </c>
      <c r="B13" s="5">
        <f>SUM(B10:B12)</f>
        <v>6869</v>
      </c>
      <c r="C13" s="5">
        <f>SUM(C10:C12)</f>
        <v>7577</v>
      </c>
      <c r="D13" s="5">
        <v>8020</v>
      </c>
    </row>
    <row r="14" spans="1:4" x14ac:dyDescent="0.3">
      <c r="A14" s="4" t="s">
        <v>63</v>
      </c>
      <c r="B14" s="5">
        <v>-1475</v>
      </c>
      <c r="C14" s="5">
        <v>-1700</v>
      </c>
      <c r="D14" s="5">
        <v>-1800</v>
      </c>
    </row>
    <row r="15" spans="1:4" x14ac:dyDescent="0.3">
      <c r="A15" s="8" t="s">
        <v>64</v>
      </c>
      <c r="B15" s="5">
        <f>SUM(B13:B14)</f>
        <v>5394</v>
      </c>
      <c r="C15" s="5">
        <f>SUM(C13:C14)</f>
        <v>5877</v>
      </c>
      <c r="D15" s="5">
        <f>SUM(D13:D14)</f>
        <v>6220</v>
      </c>
    </row>
    <row r="16" spans="1:4" x14ac:dyDescent="0.3">
      <c r="A16" s="8"/>
      <c r="B16" s="2"/>
      <c r="C16" s="5"/>
      <c r="D16" s="5"/>
    </row>
    <row r="17" spans="1:4" x14ac:dyDescent="0.3">
      <c r="A17" s="3"/>
      <c r="B17" s="2"/>
      <c r="C17" s="5"/>
      <c r="D17" s="5"/>
    </row>
    <row r="18" spans="1:4" x14ac:dyDescent="0.3">
      <c r="A18" s="4" t="s">
        <v>50</v>
      </c>
      <c r="B18" s="4" t="s">
        <v>38</v>
      </c>
      <c r="C18" s="4" t="s">
        <v>39</v>
      </c>
      <c r="D18" s="4" t="s">
        <v>40</v>
      </c>
    </row>
    <row r="19" spans="1:4" ht="18" x14ac:dyDescent="0.3">
      <c r="A19" s="6" t="s">
        <v>65</v>
      </c>
    </row>
    <row r="20" spans="1:4" x14ac:dyDescent="0.3">
      <c r="A20" s="8" t="s">
        <v>66</v>
      </c>
      <c r="B20" s="5">
        <f>SUM(B21:B28)</f>
        <v>16719</v>
      </c>
      <c r="C20" s="5">
        <f>SUM(C21:C28)</f>
        <v>18357</v>
      </c>
      <c r="D20" s="5">
        <f>SUM(D21:D28)</f>
        <v>19947</v>
      </c>
    </row>
    <row r="21" spans="1:4" x14ac:dyDescent="0.3">
      <c r="A21" t="s">
        <v>67</v>
      </c>
      <c r="B21" s="5">
        <v>5097</v>
      </c>
      <c r="C21" s="5">
        <v>5269</v>
      </c>
      <c r="D21" s="5">
        <v>5542</v>
      </c>
    </row>
    <row r="22" spans="1:4" x14ac:dyDescent="0.3">
      <c r="A22" t="s">
        <v>68</v>
      </c>
      <c r="B22" s="5">
        <v>1223</v>
      </c>
      <c r="C22" s="5">
        <v>1411</v>
      </c>
      <c r="D22" s="5">
        <v>1643</v>
      </c>
    </row>
    <row r="23" spans="1:4" x14ac:dyDescent="0.3">
      <c r="A23" t="s">
        <v>69</v>
      </c>
      <c r="B23">
        <v>197</v>
      </c>
      <c r="C23">
        <v>196</v>
      </c>
      <c r="D23">
        <v>197</v>
      </c>
    </row>
    <row r="24" spans="1:4" x14ac:dyDescent="0.3">
      <c r="A24" t="s">
        <v>70</v>
      </c>
      <c r="B24" s="5">
        <v>8337</v>
      </c>
      <c r="C24" s="5">
        <v>10005</v>
      </c>
      <c r="D24" s="5">
        <v>11135</v>
      </c>
    </row>
    <row r="25" spans="1:4" x14ac:dyDescent="0.3">
      <c r="A25" t="s">
        <v>71</v>
      </c>
      <c r="B25">
        <v>24</v>
      </c>
      <c r="C25" s="5">
        <v>9</v>
      </c>
      <c r="D25">
        <v>6</v>
      </c>
    </row>
    <row r="26" spans="1:4" x14ac:dyDescent="0.3">
      <c r="A26" t="s">
        <v>72</v>
      </c>
      <c r="B26">
        <v>398</v>
      </c>
      <c r="C26">
        <v>450</v>
      </c>
      <c r="D26" s="5">
        <v>471</v>
      </c>
    </row>
    <row r="27" spans="1:4" x14ac:dyDescent="0.3">
      <c r="A27" t="s">
        <v>73</v>
      </c>
      <c r="B27">
        <v>269</v>
      </c>
      <c r="C27">
        <v>217</v>
      </c>
      <c r="D27">
        <v>203</v>
      </c>
    </row>
    <row r="28" spans="1:4" x14ac:dyDescent="0.3">
      <c r="A28" t="s">
        <v>74</v>
      </c>
      <c r="B28" s="5">
        <v>1174</v>
      </c>
      <c r="C28">
        <v>800</v>
      </c>
      <c r="D28">
        <v>750</v>
      </c>
    </row>
    <row r="30" spans="1:4" x14ac:dyDescent="0.3">
      <c r="A30" s="8" t="s">
        <v>75</v>
      </c>
      <c r="B30" s="5">
        <f>SUM(B31:B37)</f>
        <v>16016</v>
      </c>
      <c r="C30" s="5">
        <f>SUM(C31:C37)</f>
        <v>16356</v>
      </c>
      <c r="D30" s="5">
        <f>SUM(D31:D37)</f>
        <v>15692</v>
      </c>
    </row>
    <row r="31" spans="1:4" x14ac:dyDescent="0.3">
      <c r="A31" t="s">
        <v>76</v>
      </c>
      <c r="B31" s="5">
        <v>2966</v>
      </c>
      <c r="C31" s="5">
        <v>3321</v>
      </c>
      <c r="D31" s="5">
        <v>3249</v>
      </c>
    </row>
    <row r="32" spans="1:4" x14ac:dyDescent="0.3">
      <c r="A32" t="s">
        <v>77</v>
      </c>
      <c r="B32" s="5">
        <v>1038</v>
      </c>
      <c r="C32" s="5">
        <v>1088</v>
      </c>
      <c r="D32" s="5">
        <v>1166</v>
      </c>
    </row>
    <row r="33" spans="1:4" x14ac:dyDescent="0.3">
      <c r="A33" t="s">
        <v>78</v>
      </c>
      <c r="B33">
        <v>483</v>
      </c>
      <c r="C33">
        <v>326</v>
      </c>
      <c r="D33">
        <v>197</v>
      </c>
    </row>
    <row r="34" spans="1:4" x14ac:dyDescent="0.3">
      <c r="A34" t="s">
        <v>79</v>
      </c>
      <c r="B34">
        <v>100</v>
      </c>
      <c r="C34">
        <v>94</v>
      </c>
      <c r="D34">
        <v>112</v>
      </c>
    </row>
    <row r="35" spans="1:4" x14ac:dyDescent="0.3">
      <c r="A35" t="s">
        <v>80</v>
      </c>
      <c r="B35">
        <v>7</v>
      </c>
      <c r="C35">
        <v>25</v>
      </c>
      <c r="D35" s="5">
        <v>8</v>
      </c>
    </row>
    <row r="36" spans="1:4" x14ac:dyDescent="0.3">
      <c r="A36" t="s">
        <v>81</v>
      </c>
      <c r="B36" s="5">
        <v>4415</v>
      </c>
      <c r="C36" s="5">
        <v>5120</v>
      </c>
      <c r="D36" s="5">
        <v>5684</v>
      </c>
    </row>
    <row r="37" spans="1:4" x14ac:dyDescent="0.3">
      <c r="A37" t="s">
        <v>82</v>
      </c>
      <c r="B37" s="5">
        <v>7007</v>
      </c>
      <c r="C37" s="5">
        <v>6382</v>
      </c>
      <c r="D37" s="5">
        <v>5276</v>
      </c>
    </row>
    <row r="38" spans="1:4" x14ac:dyDescent="0.3">
      <c r="D38" s="5"/>
    </row>
    <row r="39" spans="1:4" x14ac:dyDescent="0.3">
      <c r="A39" s="8" t="s">
        <v>83</v>
      </c>
      <c r="B39" s="5">
        <f>SUM(B20,B30)</f>
        <v>32735</v>
      </c>
      <c r="C39" s="5">
        <f>SUM(C20,C30)</f>
        <v>34713</v>
      </c>
      <c r="D39" s="5">
        <v>35638</v>
      </c>
    </row>
    <row r="40" spans="1:4" x14ac:dyDescent="0.3">
      <c r="A40" s="8"/>
      <c r="C40" s="5"/>
      <c r="D40" s="5"/>
    </row>
    <row r="42" spans="1:4" x14ac:dyDescent="0.3">
      <c r="A42" s="8" t="s">
        <v>84</v>
      </c>
      <c r="B42" s="5">
        <f>SUM(B43:B44)</f>
        <v>18672</v>
      </c>
      <c r="C42" s="5">
        <f>SUM(C43:C44)</f>
        <v>19676</v>
      </c>
      <c r="D42" s="5">
        <f>SUM(D43:D44)</f>
        <v>20395</v>
      </c>
    </row>
    <row r="43" spans="1:4" x14ac:dyDescent="0.3">
      <c r="A43" t="s">
        <v>85</v>
      </c>
      <c r="B43" s="5">
        <v>18642</v>
      </c>
      <c r="C43" s="5">
        <v>19676</v>
      </c>
      <c r="D43" s="5">
        <v>20395</v>
      </c>
    </row>
    <row r="44" spans="1:4" x14ac:dyDescent="0.3">
      <c r="A44" t="s">
        <v>86</v>
      </c>
      <c r="B44">
        <v>30</v>
      </c>
      <c r="C44" s="5">
        <v>0</v>
      </c>
      <c r="D44" s="5">
        <v>0</v>
      </c>
    </row>
    <row r="45" spans="1:4" x14ac:dyDescent="0.3">
      <c r="A45" s="8"/>
      <c r="C45" s="5"/>
      <c r="D45" s="5"/>
    </row>
    <row r="46" spans="1:4" x14ac:dyDescent="0.3">
      <c r="A46" s="8" t="s">
        <v>87</v>
      </c>
      <c r="B46" s="5">
        <f>SUM(B47:B51)</f>
        <v>5127</v>
      </c>
      <c r="C46" s="5">
        <f>SUM(C47:C51)</f>
        <v>4851</v>
      </c>
      <c r="D46" s="5">
        <f>SUM(D47:D51)</f>
        <v>5071</v>
      </c>
    </row>
    <row r="47" spans="1:4" x14ac:dyDescent="0.3">
      <c r="A47" t="s">
        <v>88</v>
      </c>
      <c r="B47">
        <v>362</v>
      </c>
      <c r="C47">
        <v>348</v>
      </c>
      <c r="D47" s="5">
        <v>345</v>
      </c>
    </row>
    <row r="48" spans="1:4" x14ac:dyDescent="0.3">
      <c r="A48" t="s">
        <v>89</v>
      </c>
      <c r="B48">
        <v>248</v>
      </c>
      <c r="C48">
        <v>251</v>
      </c>
      <c r="D48" s="5">
        <v>231</v>
      </c>
    </row>
    <row r="49" spans="1:4" x14ac:dyDescent="0.3">
      <c r="A49" t="s">
        <v>90</v>
      </c>
      <c r="B49">
        <v>0</v>
      </c>
      <c r="C49" s="5">
        <v>0</v>
      </c>
      <c r="D49" s="5">
        <v>0</v>
      </c>
    </row>
    <row r="50" spans="1:4" x14ac:dyDescent="0.3">
      <c r="A50" t="s">
        <v>91</v>
      </c>
      <c r="B50" s="5">
        <v>4123</v>
      </c>
      <c r="C50" s="5">
        <v>4180</v>
      </c>
      <c r="D50" s="5">
        <v>4394</v>
      </c>
    </row>
    <row r="51" spans="1:4" x14ac:dyDescent="0.3">
      <c r="A51" t="s">
        <v>92</v>
      </c>
      <c r="B51">
        <v>394</v>
      </c>
      <c r="C51">
        <v>72</v>
      </c>
      <c r="D51" s="5">
        <v>101</v>
      </c>
    </row>
    <row r="52" spans="1:4" x14ac:dyDescent="0.3">
      <c r="C52" s="5"/>
      <c r="D52" s="5"/>
    </row>
    <row r="53" spans="1:4" x14ac:dyDescent="0.3">
      <c r="A53" s="8" t="s">
        <v>93</v>
      </c>
      <c r="B53" s="5">
        <f>SUM(B54:B58)</f>
        <v>8937</v>
      </c>
      <c r="C53" s="5">
        <f>SUM(C54:C58)</f>
        <v>10187</v>
      </c>
      <c r="D53" s="5">
        <f>SUM(D54:D58)</f>
        <v>10171</v>
      </c>
    </row>
    <row r="54" spans="1:4" x14ac:dyDescent="0.3">
      <c r="A54" t="s">
        <v>90</v>
      </c>
      <c r="B54">
        <v>16</v>
      </c>
      <c r="C54" s="5">
        <v>7</v>
      </c>
      <c r="D54" s="5">
        <v>2</v>
      </c>
    </row>
    <row r="55" spans="1:4" x14ac:dyDescent="0.3">
      <c r="A55" t="s">
        <v>94</v>
      </c>
      <c r="B55">
        <v>26</v>
      </c>
      <c r="C55">
        <v>48</v>
      </c>
      <c r="D55" s="5">
        <v>43</v>
      </c>
    </row>
    <row r="56" spans="1:4" x14ac:dyDescent="0.3">
      <c r="A56" t="s">
        <v>95</v>
      </c>
      <c r="B56" s="5">
        <v>1428</v>
      </c>
      <c r="C56" s="5">
        <v>1542</v>
      </c>
      <c r="D56" s="5">
        <v>1539</v>
      </c>
    </row>
    <row r="57" spans="1:4" x14ac:dyDescent="0.3">
      <c r="A57" t="s">
        <v>96</v>
      </c>
      <c r="B57">
        <v>395</v>
      </c>
      <c r="C57">
        <v>312</v>
      </c>
      <c r="D57" s="5">
        <v>318</v>
      </c>
    </row>
    <row r="58" spans="1:4" x14ac:dyDescent="0.3">
      <c r="A58" t="s">
        <v>97</v>
      </c>
      <c r="B58" s="5">
        <v>7072</v>
      </c>
      <c r="C58" s="5">
        <v>8278</v>
      </c>
      <c r="D58" s="5">
        <v>8269</v>
      </c>
    </row>
    <row r="60" spans="1:4" x14ac:dyDescent="0.3">
      <c r="A60" s="8" t="s">
        <v>98</v>
      </c>
      <c r="B60" s="5">
        <f>SUM(B42,B46,B53)</f>
        <v>32736</v>
      </c>
      <c r="C60" s="5">
        <f>SUM(C42,C46,C53)</f>
        <v>34714</v>
      </c>
      <c r="D60" s="5">
        <v>35638</v>
      </c>
    </row>
    <row r="61" spans="1:4" x14ac:dyDescent="0.3">
      <c r="A61" s="8"/>
    </row>
    <row r="62" spans="1:4" x14ac:dyDescent="0.3">
      <c r="A62" s="8"/>
    </row>
    <row r="63" spans="1:4" x14ac:dyDescent="0.3">
      <c r="A63" s="4" t="s">
        <v>50</v>
      </c>
      <c r="B63" s="4" t="s">
        <v>38</v>
      </c>
      <c r="C63" s="4" t="s">
        <v>39</v>
      </c>
      <c r="D63" s="4" t="s">
        <v>40</v>
      </c>
    </row>
    <row r="64" spans="1:4" ht="18" x14ac:dyDescent="0.3">
      <c r="A64" s="6" t="s">
        <v>99</v>
      </c>
    </row>
    <row r="65" spans="1:4" x14ac:dyDescent="0.3">
      <c r="A65" s="8" t="s">
        <v>100</v>
      </c>
      <c r="B65" s="5">
        <f>B13</f>
        <v>6869</v>
      </c>
      <c r="C65" s="5">
        <f>C13</f>
        <v>7577</v>
      </c>
      <c r="D65" s="5">
        <f>D13</f>
        <v>8020</v>
      </c>
    </row>
    <row r="66" spans="1:4" x14ac:dyDescent="0.3">
      <c r="A66" t="s">
        <v>58</v>
      </c>
      <c r="B66" s="5">
        <v>3041</v>
      </c>
      <c r="C66" s="5">
        <v>3174</v>
      </c>
      <c r="D66" s="5">
        <v>3270</v>
      </c>
    </row>
    <row r="67" spans="1:4" x14ac:dyDescent="0.3">
      <c r="A67" t="s">
        <v>101</v>
      </c>
      <c r="B67">
        <v>24</v>
      </c>
      <c r="C67">
        <v>39</v>
      </c>
      <c r="D67">
        <v>13</v>
      </c>
    </row>
    <row r="68" spans="1:4" x14ac:dyDescent="0.3">
      <c r="A68" s="7" t="s">
        <v>61</v>
      </c>
      <c r="B68">
        <v>-72</v>
      </c>
      <c r="C68">
        <v>-99</v>
      </c>
      <c r="D68">
        <v>-102</v>
      </c>
    </row>
    <row r="69" spans="1:4" x14ac:dyDescent="0.3">
      <c r="A69" t="s">
        <v>102</v>
      </c>
      <c r="B69">
        <v>196</v>
      </c>
      <c r="C69">
        <v>223</v>
      </c>
      <c r="D69">
        <v>215</v>
      </c>
    </row>
    <row r="70" spans="1:4" x14ac:dyDescent="0.3">
      <c r="A70" t="s">
        <v>103</v>
      </c>
      <c r="B70">
        <v>125</v>
      </c>
      <c r="C70">
        <v>111</v>
      </c>
      <c r="D70">
        <v>204</v>
      </c>
    </row>
    <row r="71" spans="1:4" x14ac:dyDescent="0.3">
      <c r="A71" t="s">
        <v>104</v>
      </c>
      <c r="B71" s="5">
        <v>-1460</v>
      </c>
      <c r="C71" s="5">
        <v>-1539</v>
      </c>
      <c r="D71" s="5">
        <v>-1585</v>
      </c>
    </row>
    <row r="72" spans="1:4" x14ac:dyDescent="0.3">
      <c r="A72" s="8" t="s">
        <v>105</v>
      </c>
      <c r="B72" s="5">
        <f>SUM(B65:B71)</f>
        <v>8723</v>
      </c>
      <c r="C72" s="5">
        <f>SUM(C65:C71)</f>
        <v>9486</v>
      </c>
      <c r="D72" s="5">
        <f>SUM(D65:D71)</f>
        <v>10035</v>
      </c>
    </row>
    <row r="73" spans="1:4" x14ac:dyDescent="0.3">
      <c r="A73" t="s">
        <v>76</v>
      </c>
      <c r="B73">
        <v>130</v>
      </c>
      <c r="C73">
        <v>-427</v>
      </c>
      <c r="D73">
        <v>9</v>
      </c>
    </row>
    <row r="74" spans="1:4" x14ac:dyDescent="0.3">
      <c r="A74" t="s">
        <v>106</v>
      </c>
      <c r="B74">
        <v>-341</v>
      </c>
      <c r="C74">
        <v>-164</v>
      </c>
      <c r="D74">
        <v>-149</v>
      </c>
    </row>
    <row r="75" spans="1:4" x14ac:dyDescent="0.3">
      <c r="A75" t="s">
        <v>107</v>
      </c>
      <c r="B75">
        <v>154</v>
      </c>
      <c r="C75">
        <v>392</v>
      </c>
      <c r="D75">
        <v>-663</v>
      </c>
    </row>
    <row r="76" spans="1:4" x14ac:dyDescent="0.3">
      <c r="A76" s="8" t="s">
        <v>108</v>
      </c>
      <c r="B76">
        <f>SUM(B73:B75)</f>
        <v>-57</v>
      </c>
      <c r="C76">
        <f>SUM(C73:C75)</f>
        <v>-199</v>
      </c>
      <c r="D76">
        <f>SUM(D73:D75)</f>
        <v>-803</v>
      </c>
    </row>
    <row r="78" spans="1:4" x14ac:dyDescent="0.3">
      <c r="A78" s="8" t="s">
        <v>109</v>
      </c>
      <c r="B78" s="5">
        <f>SUM(B72,B76)</f>
        <v>8666</v>
      </c>
      <c r="C78" s="5">
        <f>SUM(C72,C76)</f>
        <v>9287</v>
      </c>
      <c r="D78" s="5">
        <f>SUM(D72,D76)</f>
        <v>9232</v>
      </c>
    </row>
    <row r="80" spans="1:4" x14ac:dyDescent="0.3">
      <c r="A80" t="s">
        <v>110</v>
      </c>
      <c r="B80">
        <v>-473</v>
      </c>
      <c r="C80">
        <v>-465</v>
      </c>
      <c r="D80">
        <v>-519</v>
      </c>
    </row>
    <row r="81" spans="1:4" x14ac:dyDescent="0.3">
      <c r="A81" t="s">
        <v>111</v>
      </c>
      <c r="B81" s="5">
        <v>-1399</v>
      </c>
      <c r="C81" s="5">
        <v>-2207</v>
      </c>
      <c r="D81" s="5">
        <v>-2193</v>
      </c>
    </row>
    <row r="82" spans="1:4" x14ac:dyDescent="0.3">
      <c r="A82" t="s">
        <v>112</v>
      </c>
      <c r="B82">
        <v>0</v>
      </c>
      <c r="C82">
        <v>-14</v>
      </c>
      <c r="D82" s="5">
        <v>-16</v>
      </c>
    </row>
    <row r="83" spans="1:4" x14ac:dyDescent="0.3">
      <c r="A83" t="s">
        <v>113</v>
      </c>
      <c r="B83">
        <v>78</v>
      </c>
      <c r="C83">
        <v>55</v>
      </c>
      <c r="D83" s="5">
        <v>60</v>
      </c>
    </row>
    <row r="84" spans="1:4" x14ac:dyDescent="0.3">
      <c r="A84" t="s">
        <v>114</v>
      </c>
      <c r="B84">
        <v>-17</v>
      </c>
      <c r="C84">
        <v>-4</v>
      </c>
      <c r="D84" s="5">
        <v>-6</v>
      </c>
    </row>
    <row r="85" spans="1:4" x14ac:dyDescent="0.3">
      <c r="A85" t="s">
        <v>115</v>
      </c>
      <c r="B85">
        <v>-17</v>
      </c>
      <c r="C85">
        <v>-10</v>
      </c>
      <c r="D85" s="5">
        <v>-10</v>
      </c>
    </row>
    <row r="86" spans="1:4" x14ac:dyDescent="0.3">
      <c r="A86" t="s">
        <v>116</v>
      </c>
      <c r="B86">
        <v>11</v>
      </c>
      <c r="C86">
        <v>61</v>
      </c>
      <c r="D86" s="5">
        <v>13</v>
      </c>
    </row>
    <row r="87" spans="1:4" x14ac:dyDescent="0.3">
      <c r="A87" t="s">
        <v>117</v>
      </c>
      <c r="B87">
        <v>107</v>
      </c>
      <c r="C87">
        <v>-705</v>
      </c>
      <c r="D87" s="5">
        <v>-545</v>
      </c>
    </row>
    <row r="88" spans="1:4" x14ac:dyDescent="0.3">
      <c r="A88" s="8" t="s">
        <v>118</v>
      </c>
      <c r="B88" s="5">
        <f>SUM(B80:B87)</f>
        <v>-1710</v>
      </c>
      <c r="C88" s="5">
        <f>SUM(C80:C87)</f>
        <v>-3289</v>
      </c>
      <c r="D88" s="5">
        <f>SUM(D80:D87)</f>
        <v>-3216</v>
      </c>
    </row>
    <row r="90" spans="1:4" x14ac:dyDescent="0.3">
      <c r="A90" t="s">
        <v>119</v>
      </c>
      <c r="B90">
        <v>-1</v>
      </c>
      <c r="C90">
        <v>0</v>
      </c>
      <c r="D90" s="5">
        <v>0</v>
      </c>
    </row>
    <row r="91" spans="1:4" x14ac:dyDescent="0.3">
      <c r="A91" t="s">
        <v>120</v>
      </c>
      <c r="B91">
        <v>4</v>
      </c>
      <c r="C91">
        <v>-8</v>
      </c>
      <c r="D91" s="5">
        <v>-5</v>
      </c>
    </row>
    <row r="92" spans="1:4" x14ac:dyDescent="0.3">
      <c r="A92" t="s">
        <v>121</v>
      </c>
      <c r="B92" s="5">
        <v>-1733</v>
      </c>
      <c r="C92" s="5">
        <v>-1802</v>
      </c>
      <c r="D92" s="5">
        <v>-1834</v>
      </c>
    </row>
    <row r="93" spans="1:4" x14ac:dyDescent="0.3">
      <c r="A93" t="s">
        <v>122</v>
      </c>
      <c r="B93" s="5">
        <v>-3744</v>
      </c>
      <c r="C93" s="5">
        <v>-4797</v>
      </c>
      <c r="D93" s="5">
        <v>-5235</v>
      </c>
    </row>
    <row r="94" spans="1:4" x14ac:dyDescent="0.3">
      <c r="A94" s="8" t="s">
        <v>123</v>
      </c>
      <c r="B94" s="5">
        <f>SUM(B90:B93)</f>
        <v>-5474</v>
      </c>
      <c r="C94" s="5">
        <f>SUM(C90:C93)</f>
        <v>-6607</v>
      </c>
      <c r="D94" s="5">
        <f>SUM(D90:D93)</f>
        <v>-7074</v>
      </c>
    </row>
    <row r="96" spans="1:4" x14ac:dyDescent="0.3">
      <c r="A96" s="8" t="s">
        <v>124</v>
      </c>
      <c r="B96" s="5">
        <f>SUM(B78,B88,B94)</f>
        <v>1482</v>
      </c>
      <c r="C96" s="5">
        <f>SUM(C78,C88,C94)</f>
        <v>-609</v>
      </c>
      <c r="D96" s="5">
        <f>SUM(D78,D88,D94)</f>
        <v>-1058</v>
      </c>
    </row>
    <row r="97" spans="1:4" x14ac:dyDescent="0.3">
      <c r="A97" t="s">
        <v>125</v>
      </c>
      <c r="B97" s="5">
        <v>5561</v>
      </c>
      <c r="C97" s="5">
        <v>7007</v>
      </c>
      <c r="D97" s="5">
        <v>6382</v>
      </c>
    </row>
    <row r="98" spans="1:4" x14ac:dyDescent="0.3">
      <c r="A98" t="s">
        <v>126</v>
      </c>
      <c r="B98">
        <v>-38</v>
      </c>
      <c r="C98">
        <v>-18</v>
      </c>
      <c r="D98">
        <v>-48</v>
      </c>
    </row>
    <row r="100" spans="1:4" x14ac:dyDescent="0.3">
      <c r="A100" s="8" t="s">
        <v>127</v>
      </c>
      <c r="B100" s="5">
        <f>SUM(B96:B98)</f>
        <v>7005</v>
      </c>
      <c r="C100" s="5">
        <f>SUM(C96:C98)</f>
        <v>6380</v>
      </c>
      <c r="D100" s="5">
        <f>SUM(D96:D98)</f>
        <v>5276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6"/>
  <sheetViews>
    <sheetView showGridLines="0" workbookViewId="0">
      <selection sqref="A1:I1"/>
    </sheetView>
  </sheetViews>
  <sheetFormatPr defaultColWidth="11.5546875" defaultRowHeight="14.4" x14ac:dyDescent="0.3"/>
  <cols>
    <col min="1" max="1" width="42.88671875" customWidth="1"/>
    <col min="2" max="9" width="13" customWidth="1"/>
  </cols>
  <sheetData>
    <row r="1" spans="1:9" ht="24" customHeight="1" x14ac:dyDescent="0.35">
      <c r="A1" s="123" t="s">
        <v>128</v>
      </c>
      <c r="B1" s="124"/>
      <c r="C1" s="124"/>
      <c r="D1" s="124"/>
      <c r="E1" s="124"/>
      <c r="F1" s="124"/>
      <c r="G1" s="124"/>
      <c r="H1" s="124"/>
      <c r="I1" s="124"/>
    </row>
    <row r="2" spans="1:9" x14ac:dyDescent="0.3">
      <c r="A2" s="125" t="s">
        <v>356</v>
      </c>
      <c r="B2" s="126"/>
      <c r="C2" s="126"/>
      <c r="D2" s="126"/>
      <c r="E2" s="126"/>
      <c r="F2" s="126"/>
      <c r="G2" s="126"/>
      <c r="H2" s="126"/>
      <c r="I2" s="126"/>
    </row>
    <row r="3" spans="1:9" ht="18" customHeight="1" x14ac:dyDescent="0.3">
      <c r="A3" s="118" t="s">
        <v>50</v>
      </c>
      <c r="B3" s="119" t="s">
        <v>38</v>
      </c>
      <c r="C3" s="119" t="s">
        <v>39</v>
      </c>
      <c r="D3" s="119" t="s">
        <v>40</v>
      </c>
      <c r="E3" s="119" t="s">
        <v>1</v>
      </c>
      <c r="F3" s="119" t="s">
        <v>2</v>
      </c>
      <c r="G3" s="119" t="s">
        <v>3</v>
      </c>
      <c r="H3" s="119" t="s">
        <v>4</v>
      </c>
      <c r="I3" s="119" t="s">
        <v>5</v>
      </c>
    </row>
    <row r="4" spans="1:9" x14ac:dyDescent="0.3">
      <c r="A4" s="122"/>
      <c r="B4" s="127"/>
      <c r="C4" s="127"/>
      <c r="D4" s="127"/>
      <c r="E4" s="128"/>
      <c r="F4" s="128"/>
      <c r="G4" s="128"/>
      <c r="H4" s="128"/>
      <c r="I4" s="128"/>
    </row>
    <row r="5" spans="1:9" x14ac:dyDescent="0.3">
      <c r="A5" s="129" t="s">
        <v>51</v>
      </c>
      <c r="B5" s="130"/>
      <c r="C5" s="130"/>
      <c r="D5" s="130"/>
      <c r="E5" s="130"/>
      <c r="F5" s="130"/>
      <c r="G5" s="130"/>
      <c r="H5" s="130"/>
      <c r="I5" s="130"/>
    </row>
    <row r="6" spans="1:9" x14ac:dyDescent="0.3">
      <c r="A6" s="122" t="s">
        <v>52</v>
      </c>
      <c r="B6" s="131">
        <f>'Historical Data'!B3</f>
        <v>35947</v>
      </c>
      <c r="C6" s="131">
        <f>'Historical Data'!C3</f>
        <v>38632</v>
      </c>
      <c r="D6" s="131">
        <f>'Historical Data'!D3</f>
        <v>39864</v>
      </c>
      <c r="E6" s="121">
        <f>D6*(1+Assumptions!B2)</f>
        <v>42654.48</v>
      </c>
      <c r="F6" s="121">
        <f>E6*(1+Assumptions!C2)</f>
        <v>45213.748800000008</v>
      </c>
      <c r="G6" s="121">
        <f>F6*(1+Assumptions!D2)</f>
        <v>47700.504984000007</v>
      </c>
      <c r="H6" s="121">
        <f>G6*(1+Assumptions!E2)</f>
        <v>50085.530233200006</v>
      </c>
      <c r="I6" s="121">
        <f>H6*(1+Assumptions!F2)</f>
        <v>52339.379093694006</v>
      </c>
    </row>
    <row r="7" spans="1:9" x14ac:dyDescent="0.3">
      <c r="A7" s="122" t="s">
        <v>53</v>
      </c>
      <c r="B7" s="131">
        <f>'Historical Data'!B4</f>
        <v>-15186</v>
      </c>
      <c r="C7" s="131">
        <f>'Historical Data'!C4</f>
        <v>-16288</v>
      </c>
      <c r="D7" s="131">
        <f>'Historical Data'!D4</f>
        <v>-16642</v>
      </c>
      <c r="E7" s="121">
        <f>E8-E6</f>
        <v>-17701.609200000003</v>
      </c>
      <c r="F7" s="121">
        <f>F8-F6</f>
        <v>-18763.705752000005</v>
      </c>
      <c r="G7" s="121">
        <f>G8-G6</f>
        <v>-19843.410073344003</v>
      </c>
      <c r="H7" s="121">
        <f>H8-H6</f>
        <v>-20885.666107244404</v>
      </c>
      <c r="I7" s="121">
        <f>I8-I6</f>
        <v>-21825.521082070401</v>
      </c>
    </row>
    <row r="8" spans="1:9" x14ac:dyDescent="0.3">
      <c r="A8" s="132" t="s">
        <v>54</v>
      </c>
      <c r="B8" s="133">
        <f>SUM(B6:B7)</f>
        <v>20761</v>
      </c>
      <c r="C8" s="133">
        <f>SUM(C6:C7)</f>
        <v>22344</v>
      </c>
      <c r="D8" s="133">
        <f>SUM(D6:D7)</f>
        <v>23222</v>
      </c>
      <c r="E8" s="134">
        <f>E6*Assumptions!B3</f>
        <v>24952.870800000001</v>
      </c>
      <c r="F8" s="134">
        <f>F6*Assumptions!C3</f>
        <v>26450.043048000003</v>
      </c>
      <c r="G8" s="134">
        <f>G6*Assumptions!D3</f>
        <v>27857.094910656004</v>
      </c>
      <c r="H8" s="134">
        <f>H6*Assumptions!E3</f>
        <v>29199.864125955603</v>
      </c>
      <c r="I8" s="134">
        <f>I6*Assumptions!F3</f>
        <v>30513.858011623604</v>
      </c>
    </row>
    <row r="9" spans="1:9" x14ac:dyDescent="0.3">
      <c r="A9" s="122" t="s">
        <v>55</v>
      </c>
      <c r="B9" s="131">
        <f>'Historical Data'!B6</f>
        <v>-10853</v>
      </c>
      <c r="C9" s="131">
        <f>'Historical Data'!C6</f>
        <v>-11555</v>
      </c>
      <c r="D9" s="131">
        <f>'Historical Data'!D6</f>
        <v>-11878</v>
      </c>
      <c r="E9" s="121">
        <f>-E6*Assumptions!B4</f>
        <v>-12753.68952</v>
      </c>
      <c r="F9" s="121">
        <f>-F6*Assumptions!C4</f>
        <v>-13473.697142400002</v>
      </c>
      <c r="G9" s="121">
        <f>-G6*Assumptions!D4</f>
        <v>-14214.750485232002</v>
      </c>
      <c r="H9" s="121">
        <f>-H6*Assumptions!E4</f>
        <v>-14875.402479260401</v>
      </c>
      <c r="I9" s="121">
        <f>-I6*Assumptions!F4</f>
        <v>-15544.79559082712</v>
      </c>
    </row>
    <row r="10" spans="1:9" x14ac:dyDescent="0.3">
      <c r="A10" s="122" t="s">
        <v>56</v>
      </c>
      <c r="B10" s="131">
        <f>'Historical Data'!B7</f>
        <v>-59</v>
      </c>
      <c r="C10" s="131">
        <f>'Historical Data'!C7</f>
        <v>-60</v>
      </c>
      <c r="D10" s="131">
        <f>'Historical Data'!D7</f>
        <v>-77</v>
      </c>
      <c r="E10" s="121">
        <f>E6*Assumptions!B7</f>
        <v>-85.308960000000013</v>
      </c>
      <c r="F10" s="121">
        <f>F6*Assumptions!C7</f>
        <v>-90.427497600000024</v>
      </c>
      <c r="G10" s="121">
        <f>G6*Assumptions!D7</f>
        <v>-95.401009968000011</v>
      </c>
      <c r="H10" s="121">
        <f>H6*Assumptions!E7</f>
        <v>-100.17106046640002</v>
      </c>
      <c r="I10" s="121">
        <f>I6*Assumptions!F7</f>
        <v>-104.67875818738801</v>
      </c>
    </row>
    <row r="11" spans="1:9" x14ac:dyDescent="0.3">
      <c r="A11" s="132" t="s">
        <v>129</v>
      </c>
      <c r="B11" s="133">
        <f t="shared" ref="B11:I11" si="0">SUM(B8:B10)</f>
        <v>9849</v>
      </c>
      <c r="C11" s="133">
        <f t="shared" si="0"/>
        <v>10729</v>
      </c>
      <c r="D11" s="133">
        <f t="shared" si="0"/>
        <v>11267</v>
      </c>
      <c r="E11" s="134">
        <f t="shared" si="0"/>
        <v>12113.87232</v>
      </c>
      <c r="F11" s="134">
        <f t="shared" si="0"/>
        <v>12885.918408000001</v>
      </c>
      <c r="G11" s="134">
        <f t="shared" si="0"/>
        <v>13546.943415456002</v>
      </c>
      <c r="H11" s="134">
        <f t="shared" si="0"/>
        <v>14224.290586228801</v>
      </c>
      <c r="I11" s="134">
        <f t="shared" si="0"/>
        <v>14864.383662609096</v>
      </c>
    </row>
    <row r="12" spans="1:9" x14ac:dyDescent="0.3">
      <c r="A12" s="122" t="s">
        <v>130</v>
      </c>
      <c r="B12" s="135">
        <f t="shared" ref="B12:I12" si="1">B11/B6</f>
        <v>0.27398670264556152</v>
      </c>
      <c r="C12" s="135">
        <f t="shared" si="1"/>
        <v>0.27772313108303998</v>
      </c>
      <c r="D12" s="135">
        <f t="shared" si="1"/>
        <v>0.28263596227172388</v>
      </c>
      <c r="E12" s="136">
        <f t="shared" si="1"/>
        <v>0.28399999999999997</v>
      </c>
      <c r="F12" s="136">
        <f t="shared" si="1"/>
        <v>0.28499999999999998</v>
      </c>
      <c r="G12" s="136">
        <f t="shared" si="1"/>
        <v>0.28400000000000003</v>
      </c>
      <c r="H12" s="136">
        <f t="shared" si="1"/>
        <v>0.28399999999999997</v>
      </c>
      <c r="I12" s="136">
        <f t="shared" si="1"/>
        <v>0.28399999999999997</v>
      </c>
    </row>
    <row r="13" spans="1:9" x14ac:dyDescent="0.3">
      <c r="A13" s="122" t="s">
        <v>58</v>
      </c>
      <c r="B13" s="131">
        <f>'Historical Data'!B9</f>
        <v>-3041</v>
      </c>
      <c r="C13" s="131">
        <f>'Historical Data'!C9</f>
        <v>-3174</v>
      </c>
      <c r="D13" s="131">
        <f>'Historical Data'!D9</f>
        <v>-3270</v>
      </c>
      <c r="E13" s="121">
        <f>'Supporting Schedules'!B34</f>
        <v>-3433.3</v>
      </c>
      <c r="F13" s="121">
        <f>'Supporting Schedules'!C34</f>
        <v>-3700.9993839021517</v>
      </c>
      <c r="G13" s="121">
        <f>'Supporting Schedules'!D34</f>
        <v>-3981.5920084482182</v>
      </c>
      <c r="H13" s="121">
        <f>'Supporting Schedules'!E34</f>
        <v>-4266.816755781173</v>
      </c>
      <c r="I13" s="121">
        <f>'Supporting Schedules'!F34</f>
        <v>-4551.2084028065219</v>
      </c>
    </row>
    <row r="14" spans="1:9" x14ac:dyDescent="0.3">
      <c r="A14" s="132" t="s">
        <v>131</v>
      </c>
      <c r="B14" s="133">
        <f t="shared" ref="B14:I14" si="2">SUM(B11,B13)</f>
        <v>6808</v>
      </c>
      <c r="C14" s="133">
        <f t="shared" si="2"/>
        <v>7555</v>
      </c>
      <c r="D14" s="133">
        <f t="shared" si="2"/>
        <v>7997</v>
      </c>
      <c r="E14" s="134">
        <f t="shared" si="2"/>
        <v>8680.5723199999993</v>
      </c>
      <c r="F14" s="134">
        <f t="shared" si="2"/>
        <v>9184.9190240978496</v>
      </c>
      <c r="G14" s="134">
        <f t="shared" si="2"/>
        <v>9565.3514070077836</v>
      </c>
      <c r="H14" s="134">
        <f t="shared" si="2"/>
        <v>9957.4738304476268</v>
      </c>
      <c r="I14" s="134">
        <f t="shared" si="2"/>
        <v>10313.175259802574</v>
      </c>
    </row>
    <row r="15" spans="1:9" x14ac:dyDescent="0.3">
      <c r="A15" s="122" t="s">
        <v>132</v>
      </c>
      <c r="B15" s="135">
        <f t="shared" ref="B15:I15" si="3">B14/B6</f>
        <v>0.18938993518235181</v>
      </c>
      <c r="C15" s="135">
        <f t="shared" si="3"/>
        <v>0.1955632636156554</v>
      </c>
      <c r="D15" s="135">
        <f t="shared" si="3"/>
        <v>0.20060706401766004</v>
      </c>
      <c r="E15" s="136">
        <f t="shared" si="3"/>
        <v>0.20350904101984127</v>
      </c>
      <c r="F15" s="136">
        <f t="shared" si="3"/>
        <v>0.20314438125285131</v>
      </c>
      <c r="G15" s="136">
        <f t="shared" si="3"/>
        <v>0.20052935310048084</v>
      </c>
      <c r="H15" s="136">
        <f t="shared" si="3"/>
        <v>0.19880939233517694</v>
      </c>
      <c r="I15" s="136">
        <f t="shared" si="3"/>
        <v>0.19704427982114014</v>
      </c>
    </row>
    <row r="16" spans="1:9" x14ac:dyDescent="0.3">
      <c r="A16" s="122" t="s">
        <v>60</v>
      </c>
      <c r="B16" s="131">
        <f>'Historical Data'!B11</f>
        <v>-11</v>
      </c>
      <c r="C16" s="131">
        <f>'Historical Data'!C11</f>
        <v>-77</v>
      </c>
      <c r="D16" s="131">
        <f>'Historical Data'!D11</f>
        <v>-80</v>
      </c>
      <c r="E16" s="121">
        <f>E6*Assumptions!B8</f>
        <v>-85.308960000000013</v>
      </c>
      <c r="F16" s="121">
        <f>F6*Assumptions!C8</f>
        <v>-90.427497600000024</v>
      </c>
      <c r="G16" s="121">
        <f>G6*Assumptions!D8</f>
        <v>-95.401009968000011</v>
      </c>
      <c r="H16" s="121">
        <f>H6*Assumptions!E8</f>
        <v>-100.17106046640002</v>
      </c>
      <c r="I16" s="121">
        <f>I6*Assumptions!F8</f>
        <v>-104.67875818738801</v>
      </c>
    </row>
    <row r="17" spans="1:9" x14ac:dyDescent="0.3">
      <c r="A17" s="122" t="s">
        <v>61</v>
      </c>
      <c r="B17" s="131">
        <f>'Historical Data'!B12</f>
        <v>72</v>
      </c>
      <c r="C17" s="131">
        <f>'Historical Data'!C12</f>
        <v>99</v>
      </c>
      <c r="D17" s="131">
        <f>'Historical Data'!D12</f>
        <v>102</v>
      </c>
      <c r="E17" s="121">
        <f>E6*Assumptions!B9</f>
        <v>106.63620000000002</v>
      </c>
      <c r="F17" s="121">
        <f>F6*Assumptions!C9</f>
        <v>113.03437200000002</v>
      </c>
      <c r="G17" s="121">
        <f>G6*Assumptions!D9</f>
        <v>119.25126246000002</v>
      </c>
      <c r="H17" s="121">
        <f>H6*Assumptions!E9</f>
        <v>125.21382558300002</v>
      </c>
      <c r="I17" s="121">
        <f>I6*Assumptions!F9</f>
        <v>130.84844773423501</v>
      </c>
    </row>
    <row r="18" spans="1:9" x14ac:dyDescent="0.3">
      <c r="A18" s="132" t="s">
        <v>133</v>
      </c>
      <c r="B18" s="133">
        <f t="shared" ref="B18:I18" si="4">SUM(B14,B16:B17)</f>
        <v>6869</v>
      </c>
      <c r="C18" s="133">
        <f t="shared" si="4"/>
        <v>7577</v>
      </c>
      <c r="D18" s="133">
        <f t="shared" si="4"/>
        <v>8019</v>
      </c>
      <c r="E18" s="134">
        <f t="shared" si="4"/>
        <v>8701.8995599999998</v>
      </c>
      <c r="F18" s="134">
        <f t="shared" si="4"/>
        <v>9207.52589849785</v>
      </c>
      <c r="G18" s="134">
        <f t="shared" si="4"/>
        <v>9589.201659499784</v>
      </c>
      <c r="H18" s="134">
        <f t="shared" si="4"/>
        <v>9982.516595564226</v>
      </c>
      <c r="I18" s="134">
        <f t="shared" si="4"/>
        <v>10339.344949349421</v>
      </c>
    </row>
    <row r="19" spans="1:9" x14ac:dyDescent="0.3">
      <c r="A19" s="122" t="s">
        <v>63</v>
      </c>
      <c r="B19" s="131">
        <f>'Historical Data'!B14</f>
        <v>-1475</v>
      </c>
      <c r="C19" s="131">
        <f>'Historical Data'!C14</f>
        <v>-1700</v>
      </c>
      <c r="D19" s="131">
        <f>'Historical Data'!D14</f>
        <v>-1800</v>
      </c>
      <c r="E19" s="121">
        <f>-E18*Assumptions!B6</f>
        <v>-1949.22550144</v>
      </c>
      <c r="F19" s="121">
        <f>-F18*Assumptions!C6</f>
        <v>-2062.4858012635186</v>
      </c>
      <c r="G19" s="121">
        <f>-G18*Assumptions!D6</f>
        <v>-2147.9811717279517</v>
      </c>
      <c r="H19" s="121">
        <f>-H18*Assumptions!E6</f>
        <v>-2236.0837174063868</v>
      </c>
      <c r="I19" s="121">
        <f>-I18*Assumptions!F6</f>
        <v>-2316.0132686542702</v>
      </c>
    </row>
    <row r="20" spans="1:9" x14ac:dyDescent="0.3">
      <c r="A20" s="122" t="s">
        <v>134</v>
      </c>
      <c r="B20" s="135">
        <f t="shared" ref="B20:I20" si="5">-B19/B18</f>
        <v>0.21473285776677828</v>
      </c>
      <c r="C20" s="135">
        <f t="shared" si="5"/>
        <v>0.22436320443447275</v>
      </c>
      <c r="D20" s="135">
        <f t="shared" si="5"/>
        <v>0.22446689113355781</v>
      </c>
      <c r="E20" s="136">
        <f t="shared" si="5"/>
        <v>0.224</v>
      </c>
      <c r="F20" s="136">
        <f t="shared" si="5"/>
        <v>0.22400000000000003</v>
      </c>
      <c r="G20" s="136">
        <f t="shared" si="5"/>
        <v>0.224</v>
      </c>
      <c r="H20" s="136">
        <f t="shared" si="5"/>
        <v>0.224</v>
      </c>
      <c r="I20" s="136">
        <f t="shared" si="5"/>
        <v>0.224</v>
      </c>
    </row>
    <row r="21" spans="1:9" x14ac:dyDescent="0.3">
      <c r="A21" s="132" t="s">
        <v>64</v>
      </c>
      <c r="B21" s="133">
        <f t="shared" ref="B21:I21" si="6">SUM(B18:B19)</f>
        <v>5394</v>
      </c>
      <c r="C21" s="133">
        <f t="shared" si="6"/>
        <v>5877</v>
      </c>
      <c r="D21" s="133">
        <f t="shared" si="6"/>
        <v>6219</v>
      </c>
      <c r="E21" s="134">
        <f t="shared" si="6"/>
        <v>6752.67405856</v>
      </c>
      <c r="F21" s="134">
        <f t="shared" si="6"/>
        <v>7145.0400972343314</v>
      </c>
      <c r="G21" s="134">
        <f t="shared" si="6"/>
        <v>7441.2204877718323</v>
      </c>
      <c r="H21" s="134">
        <f t="shared" si="6"/>
        <v>7746.4328781578388</v>
      </c>
      <c r="I21" s="134">
        <f t="shared" si="6"/>
        <v>8023.3316806951507</v>
      </c>
    </row>
    <row r="22" spans="1:9" x14ac:dyDescent="0.3">
      <c r="A22" s="122" t="s">
        <v>135</v>
      </c>
      <c r="B22" s="135">
        <f t="shared" ref="B22:I22" si="7">B21/B6</f>
        <v>0.15005424652961305</v>
      </c>
      <c r="C22" s="135">
        <f t="shared" si="7"/>
        <v>0.15212776972458067</v>
      </c>
      <c r="D22" s="135">
        <f t="shared" si="7"/>
        <v>0.15600541842263696</v>
      </c>
      <c r="E22" s="136">
        <f t="shared" si="7"/>
        <v>0.15831101583139684</v>
      </c>
      <c r="F22" s="136">
        <f t="shared" si="7"/>
        <v>0.15802803985221262</v>
      </c>
      <c r="G22" s="136">
        <f t="shared" si="7"/>
        <v>0.15599877800597314</v>
      </c>
      <c r="H22" s="136">
        <f t="shared" si="7"/>
        <v>0.15466408845209728</v>
      </c>
      <c r="I22" s="136">
        <f t="shared" si="7"/>
        <v>0.15329436114120476</v>
      </c>
    </row>
    <row r="23" spans="1:9" x14ac:dyDescent="0.3">
      <c r="A23" s="122" t="s">
        <v>136</v>
      </c>
      <c r="B23" s="135" t="s">
        <v>137</v>
      </c>
      <c r="C23" s="135">
        <f t="shared" ref="C23:I23" si="8">C6/B6-1</f>
        <v>7.4693298467187752E-2</v>
      </c>
      <c r="D23" s="135">
        <f t="shared" si="8"/>
        <v>3.1890660592255093E-2</v>
      </c>
      <c r="E23" s="136">
        <f t="shared" si="8"/>
        <v>7.0000000000000062E-2</v>
      </c>
      <c r="F23" s="136">
        <f t="shared" si="8"/>
        <v>6.0000000000000053E-2</v>
      </c>
      <c r="G23" s="136">
        <f t="shared" si="8"/>
        <v>5.4999999999999938E-2</v>
      </c>
      <c r="H23" s="136">
        <f t="shared" si="8"/>
        <v>5.0000000000000044E-2</v>
      </c>
      <c r="I23" s="136">
        <f t="shared" si="8"/>
        <v>4.4999999999999929E-2</v>
      </c>
    </row>
    <row r="24" spans="1:9" x14ac:dyDescent="0.3">
      <c r="A24" s="122"/>
      <c r="B24" s="135"/>
      <c r="C24" s="135"/>
      <c r="D24" s="135"/>
      <c r="E24" s="136"/>
      <c r="F24" s="136"/>
      <c r="G24" s="136"/>
      <c r="H24" s="136"/>
      <c r="I24" s="136"/>
    </row>
    <row r="25" spans="1:9" x14ac:dyDescent="0.3">
      <c r="A25" s="122"/>
      <c r="B25" s="137"/>
      <c r="C25" s="137"/>
      <c r="D25" s="137"/>
      <c r="E25" s="121"/>
      <c r="F25" s="121"/>
      <c r="G25" s="121"/>
      <c r="H25" s="121"/>
      <c r="I25" s="121"/>
    </row>
    <row r="26" spans="1:9" x14ac:dyDescent="0.3">
      <c r="A26" s="129" t="s">
        <v>65</v>
      </c>
      <c r="B26" s="138"/>
      <c r="C26" s="138"/>
      <c r="D26" s="138"/>
      <c r="E26" s="138"/>
      <c r="F26" s="138"/>
      <c r="G26" s="138"/>
      <c r="H26" s="138"/>
      <c r="I26" s="138"/>
    </row>
    <row r="27" spans="1:9" x14ac:dyDescent="0.3">
      <c r="A27" s="120" t="s">
        <v>66</v>
      </c>
      <c r="B27" s="139"/>
      <c r="C27" s="139"/>
      <c r="D27" s="139"/>
      <c r="E27" s="140"/>
      <c r="F27" s="140"/>
      <c r="G27" s="140"/>
      <c r="H27" s="140"/>
      <c r="I27" s="140"/>
    </row>
    <row r="28" spans="1:9" x14ac:dyDescent="0.3">
      <c r="A28" s="122" t="s">
        <v>67</v>
      </c>
      <c r="B28" s="131">
        <f>'Historical Data'!B21</f>
        <v>5097</v>
      </c>
      <c r="C28" s="131">
        <f>'Historical Data'!C21</f>
        <v>5269</v>
      </c>
      <c r="D28" s="131">
        <f>'Historical Data'!D21</f>
        <v>5542</v>
      </c>
      <c r="E28" s="121">
        <f>'Supporting Schedules'!B20</f>
        <v>6225.3963999999996</v>
      </c>
      <c r="F28" s="121">
        <f>'Supporting Schedules'!C20</f>
        <v>6844.5336639999996</v>
      </c>
      <c r="G28" s="121">
        <f>'Supporting Schedules'!D20</f>
        <v>7414.7013389200001</v>
      </c>
      <c r="H28" s="121">
        <f>'Supporting Schedules'!E20</f>
        <v>7944.9951000700021</v>
      </c>
      <c r="I28" s="121">
        <f>'Supporting Schedules'!F20</f>
        <v>8440.1624202021721</v>
      </c>
    </row>
    <row r="29" spans="1:9" x14ac:dyDescent="0.3">
      <c r="A29" s="122" t="s">
        <v>68</v>
      </c>
      <c r="B29" s="131">
        <f>'Historical Data'!B22</f>
        <v>1223</v>
      </c>
      <c r="C29" s="131">
        <f>'Historical Data'!C22</f>
        <v>1411</v>
      </c>
      <c r="D29" s="131">
        <f>'Historical Data'!D22</f>
        <v>1643</v>
      </c>
      <c r="E29" s="121">
        <f>'Supporting Schedules'!B13</f>
        <v>1541.1299999999999</v>
      </c>
      <c r="F29" s="121">
        <f>'Supporting Schedules'!C13</f>
        <v>1513.3278000000003</v>
      </c>
      <c r="G29" s="121">
        <f>'Supporting Schedules'!D13</f>
        <v>1529.022219</v>
      </c>
      <c r="H29" s="121">
        <f>'Supporting Schedules'!E13</f>
        <v>1569.4901473499999</v>
      </c>
      <c r="I29" s="121">
        <f>'Supporting Schedules'!F13</f>
        <v>1623.1143610777499</v>
      </c>
    </row>
    <row r="30" spans="1:9" x14ac:dyDescent="0.3">
      <c r="A30" s="122" t="s">
        <v>69</v>
      </c>
      <c r="B30" s="131">
        <f>'Historical Data'!B23</f>
        <v>197</v>
      </c>
      <c r="C30" s="131">
        <f>'Historical Data'!C23</f>
        <v>196</v>
      </c>
      <c r="D30" s="131">
        <f>'Historical Data'!D23</f>
        <v>197</v>
      </c>
      <c r="E30" s="121">
        <f>D30</f>
        <v>197</v>
      </c>
      <c r="F30" s="121">
        <f t="shared" ref="F30:I30" si="9">E30</f>
        <v>197</v>
      </c>
      <c r="G30" s="121">
        <f t="shared" si="9"/>
        <v>197</v>
      </c>
      <c r="H30" s="121">
        <f t="shared" si="9"/>
        <v>197</v>
      </c>
      <c r="I30" s="121">
        <f t="shared" si="9"/>
        <v>197</v>
      </c>
    </row>
    <row r="31" spans="1:9" x14ac:dyDescent="0.3">
      <c r="A31" s="122" t="s">
        <v>70</v>
      </c>
      <c r="B31" s="131">
        <f>'Historical Data'!B24</f>
        <v>8337</v>
      </c>
      <c r="C31" s="131">
        <f>'Historical Data'!C24</f>
        <v>10005</v>
      </c>
      <c r="D31" s="131">
        <f>'Historical Data'!D24</f>
        <v>11135</v>
      </c>
      <c r="E31" s="121">
        <f>'Supporting Schedules'!B6</f>
        <v>12169.28463902152</v>
      </c>
      <c r="F31" s="121">
        <f>'Supporting Schedules'!C6</f>
        <v>13229.007892482181</v>
      </c>
      <c r="G31" s="121">
        <f>'Supporting Schedules'!D6</f>
        <v>14307.97466505173</v>
      </c>
      <c r="H31" s="121">
        <f>'Supporting Schedules'!E6</f>
        <v>15399.138138455211</v>
      </c>
      <c r="I31" s="121">
        <f>'Supporting Schedules'!F6</f>
        <v>16494.673506814237</v>
      </c>
    </row>
    <row r="32" spans="1:9" x14ac:dyDescent="0.3">
      <c r="A32" s="122" t="s">
        <v>71</v>
      </c>
      <c r="B32" s="131">
        <f>'Historical Data'!B25</f>
        <v>24</v>
      </c>
      <c r="C32" s="131">
        <f>'Historical Data'!C25</f>
        <v>9</v>
      </c>
      <c r="D32" s="131">
        <f>'Historical Data'!D25</f>
        <v>6</v>
      </c>
      <c r="E32" s="121">
        <f>D32</f>
        <v>6</v>
      </c>
      <c r="F32" s="121">
        <f t="shared" ref="F32:I32" si="10">E32</f>
        <v>6</v>
      </c>
      <c r="G32" s="121">
        <f t="shared" si="10"/>
        <v>6</v>
      </c>
      <c r="H32" s="121">
        <f t="shared" si="10"/>
        <v>6</v>
      </c>
      <c r="I32" s="121">
        <f t="shared" si="10"/>
        <v>6</v>
      </c>
    </row>
    <row r="33" spans="1:9" x14ac:dyDescent="0.3">
      <c r="A33" s="122" t="s">
        <v>72</v>
      </c>
      <c r="B33" s="131">
        <f>'Historical Data'!B26</f>
        <v>398</v>
      </c>
      <c r="C33" s="131">
        <f>'Historical Data'!C26</f>
        <v>450</v>
      </c>
      <c r="D33" s="131">
        <f>'Historical Data'!D26</f>
        <v>471</v>
      </c>
      <c r="E33" s="121">
        <f>'Supporting Schedules'!B43</f>
        <v>577.63620000000003</v>
      </c>
      <c r="F33" s="121">
        <f>'Supporting Schedules'!C43</f>
        <v>690.67057199999999</v>
      </c>
      <c r="G33" s="121">
        <f>'Supporting Schedules'!D43</f>
        <v>809.92183446000001</v>
      </c>
      <c r="H33" s="121">
        <f>'Supporting Schedules'!E43</f>
        <v>935.13566004300003</v>
      </c>
      <c r="I33" s="121">
        <f>'Supporting Schedules'!F43</f>
        <v>1065.9841077772351</v>
      </c>
    </row>
    <row r="34" spans="1:9" x14ac:dyDescent="0.3">
      <c r="A34" s="122" t="s">
        <v>73</v>
      </c>
      <c r="B34" s="131">
        <f>'Historical Data'!B27</f>
        <v>269</v>
      </c>
      <c r="C34" s="131">
        <f>'Historical Data'!C27</f>
        <v>217</v>
      </c>
      <c r="D34" s="131">
        <f>'Historical Data'!D27</f>
        <v>203</v>
      </c>
      <c r="E34" s="121">
        <f>E6*Assumptions!B18</f>
        <v>258.66612328041623</v>
      </c>
      <c r="F34" s="121">
        <f>F6*Assumptions!C18</f>
        <v>274.18609067724128</v>
      </c>
      <c r="G34" s="121">
        <f>G6*Assumptions!D18</f>
        <v>289.2663256644895</v>
      </c>
      <c r="H34" s="121">
        <f>H6*Assumptions!E18</f>
        <v>303.72964194771401</v>
      </c>
      <c r="I34" s="121">
        <f>I6*Assumptions!F18</f>
        <v>317.39747583536109</v>
      </c>
    </row>
    <row r="35" spans="1:9" x14ac:dyDescent="0.3">
      <c r="A35" s="122" t="s">
        <v>74</v>
      </c>
      <c r="B35" s="131">
        <f>'Historical Data'!B28</f>
        <v>1174</v>
      </c>
      <c r="C35" s="131">
        <f>'Historical Data'!C28</f>
        <v>800</v>
      </c>
      <c r="D35" s="131">
        <f>'Historical Data'!D28</f>
        <v>750</v>
      </c>
      <c r="E35" s="121">
        <f>D35</f>
        <v>750</v>
      </c>
      <c r="F35" s="121">
        <f t="shared" ref="F35:I35" si="11">E35</f>
        <v>750</v>
      </c>
      <c r="G35" s="121">
        <f t="shared" si="11"/>
        <v>750</v>
      </c>
      <c r="H35" s="121">
        <f t="shared" si="11"/>
        <v>750</v>
      </c>
      <c r="I35" s="121">
        <f t="shared" si="11"/>
        <v>750</v>
      </c>
    </row>
    <row r="36" spans="1:9" x14ac:dyDescent="0.3">
      <c r="A36" s="132" t="s">
        <v>138</v>
      </c>
      <c r="B36" s="133">
        <f>SUM(B28:B35)</f>
        <v>16719</v>
      </c>
      <c r="C36" s="133">
        <f>SUM(C28:C35)</f>
        <v>18357</v>
      </c>
      <c r="D36" s="133">
        <f>SUM(D28:D35)</f>
        <v>19947</v>
      </c>
      <c r="E36" s="140">
        <f>SUM(E28:E35)</f>
        <v>21725.113362301934</v>
      </c>
      <c r="F36" s="140">
        <f t="shared" ref="F36:I36" si="12">SUM(F28:F35)</f>
        <v>23504.726019159421</v>
      </c>
      <c r="G36" s="140">
        <f t="shared" si="12"/>
        <v>25303.886383096222</v>
      </c>
      <c r="H36" s="140">
        <f t="shared" si="12"/>
        <v>27105.488687865927</v>
      </c>
      <c r="I36" s="140">
        <f t="shared" si="12"/>
        <v>28894.331871706756</v>
      </c>
    </row>
    <row r="37" spans="1:9" x14ac:dyDescent="0.3">
      <c r="A37" s="122"/>
      <c r="B37" s="137"/>
      <c r="C37" s="137"/>
      <c r="D37" s="137"/>
      <c r="E37" s="121"/>
      <c r="F37" s="121"/>
      <c r="G37" s="121"/>
      <c r="H37" s="121"/>
      <c r="I37" s="121"/>
    </row>
    <row r="38" spans="1:9" x14ac:dyDescent="0.3">
      <c r="A38" s="120" t="s">
        <v>75</v>
      </c>
      <c r="B38" s="139"/>
      <c r="C38" s="139"/>
      <c r="D38" s="139"/>
      <c r="E38" s="140"/>
      <c r="F38" s="140"/>
      <c r="G38" s="140"/>
      <c r="H38" s="140"/>
      <c r="I38" s="140"/>
    </row>
    <row r="39" spans="1:9" x14ac:dyDescent="0.3">
      <c r="A39" s="122" t="s">
        <v>76</v>
      </c>
      <c r="B39" s="131">
        <f>'Historical Data'!B31</f>
        <v>2966</v>
      </c>
      <c r="C39" s="131">
        <f>'Historical Data'!C31</f>
        <v>3321</v>
      </c>
      <c r="D39" s="131">
        <f>'Historical Data'!D31</f>
        <v>3249</v>
      </c>
      <c r="E39" s="121">
        <f>-E7*Assumptions!B14/365</f>
        <v>3394.829161643836</v>
      </c>
      <c r="F39" s="121">
        <f>-F7*Assumptions!C14/365</f>
        <v>3598.5189113424672</v>
      </c>
      <c r="G39" s="121">
        <f>-G7*Assumptions!D14/365</f>
        <v>3805.5854935180282</v>
      </c>
      <c r="H39" s="121">
        <f>-H7*Assumptions!E14/365</f>
        <v>4005.4702123482416</v>
      </c>
      <c r="I39" s="121">
        <f>-I7*Assumptions!F14/365</f>
        <v>4185.7163719039127</v>
      </c>
    </row>
    <row r="40" spans="1:9" x14ac:dyDescent="0.3">
      <c r="A40" s="122" t="s">
        <v>77</v>
      </c>
      <c r="B40" s="131">
        <f>'Historical Data'!B32</f>
        <v>1038</v>
      </c>
      <c r="C40" s="131">
        <f>'Historical Data'!C32</f>
        <v>1088</v>
      </c>
      <c r="D40" s="131">
        <f>'Historical Data'!D32</f>
        <v>1166</v>
      </c>
      <c r="E40" s="121">
        <f>E6*Assumptions!B13/365</f>
        <v>1285.4774794520549</v>
      </c>
      <c r="F40" s="121">
        <f>F6*Assumptions!C13/365</f>
        <v>1362.6061282191783</v>
      </c>
      <c r="G40" s="121">
        <f>G6*Assumptions!D13/365</f>
        <v>1437.5494652712332</v>
      </c>
      <c r="H40" s="121">
        <f>H6*Assumptions!E13/365</f>
        <v>1509.4269385347945</v>
      </c>
      <c r="I40" s="121">
        <f>I6*Assumptions!F13/365</f>
        <v>1577.3511507688604</v>
      </c>
    </row>
    <row r="41" spans="1:9" x14ac:dyDescent="0.3">
      <c r="A41" s="122" t="s">
        <v>78</v>
      </c>
      <c r="B41" s="131">
        <f>'Historical Data'!B33</f>
        <v>483</v>
      </c>
      <c r="C41" s="131">
        <f>'Historical Data'!C33</f>
        <v>326</v>
      </c>
      <c r="D41" s="131">
        <f>'Historical Data'!D33</f>
        <v>197</v>
      </c>
      <c r="E41" s="121">
        <f>-E19*Assumptions!B17</f>
        <v>194.92255014400001</v>
      </c>
      <c r="F41" s="121">
        <f>-F19*Assumptions!C17</f>
        <v>206.24858012635187</v>
      </c>
      <c r="G41" s="121">
        <f>-G19*Assumptions!D17</f>
        <v>214.79811717279517</v>
      </c>
      <c r="H41" s="121">
        <f>-H19*Assumptions!E17</f>
        <v>223.60837174063869</v>
      </c>
      <c r="I41" s="121">
        <f>-I19*Assumptions!F17</f>
        <v>231.60132686542704</v>
      </c>
    </row>
    <row r="42" spans="1:9" x14ac:dyDescent="0.3">
      <c r="A42" s="122" t="s">
        <v>79</v>
      </c>
      <c r="B42" s="131">
        <f>'Historical Data'!B34</f>
        <v>100</v>
      </c>
      <c r="C42" s="131">
        <f>'Historical Data'!C34</f>
        <v>94</v>
      </c>
      <c r="D42" s="131">
        <f>'Historical Data'!D34</f>
        <v>112</v>
      </c>
      <c r="E42" s="121">
        <f>E6*Assumptions!B16</f>
        <v>127.96344000000001</v>
      </c>
      <c r="F42" s="121">
        <f>F6*Assumptions!C16</f>
        <v>135.64124640000003</v>
      </c>
      <c r="G42" s="121">
        <f>G6*Assumptions!D16</f>
        <v>143.10151495200003</v>
      </c>
      <c r="H42" s="121">
        <f>H6*Assumptions!E16</f>
        <v>150.25659069960003</v>
      </c>
      <c r="I42" s="121">
        <f>I6*Assumptions!F16</f>
        <v>157.01813728108203</v>
      </c>
    </row>
    <row r="43" spans="1:9" x14ac:dyDescent="0.3">
      <c r="A43" s="122" t="s">
        <v>80</v>
      </c>
      <c r="B43" s="131">
        <f>'Historical Data'!B35</f>
        <v>7</v>
      </c>
      <c r="C43" s="131">
        <f>'Historical Data'!C35</f>
        <v>25</v>
      </c>
      <c r="D43" s="131">
        <f>'Historical Data'!D35</f>
        <v>8</v>
      </c>
      <c r="E43" s="121">
        <f>D43</f>
        <v>8</v>
      </c>
      <c r="F43" s="121">
        <f t="shared" ref="F43:I43" si="13">E43</f>
        <v>8</v>
      </c>
      <c r="G43" s="121">
        <f t="shared" si="13"/>
        <v>8</v>
      </c>
      <c r="H43" s="121">
        <f t="shared" si="13"/>
        <v>8</v>
      </c>
      <c r="I43" s="121">
        <f t="shared" si="13"/>
        <v>8</v>
      </c>
    </row>
    <row r="44" spans="1:9" x14ac:dyDescent="0.3">
      <c r="A44" s="122" t="s">
        <v>81</v>
      </c>
      <c r="B44" s="131">
        <f>'Historical Data'!B36</f>
        <v>4415</v>
      </c>
      <c r="C44" s="131">
        <f>'Historical Data'!C36</f>
        <v>5120</v>
      </c>
      <c r="D44" s="131">
        <f>'Historical Data'!D36</f>
        <v>5684</v>
      </c>
      <c r="E44" s="121">
        <f>D44</f>
        <v>5684</v>
      </c>
      <c r="F44" s="121">
        <f t="shared" ref="F44:I44" si="14">E44</f>
        <v>5684</v>
      </c>
      <c r="G44" s="121">
        <f t="shared" si="14"/>
        <v>5684</v>
      </c>
      <c r="H44" s="121">
        <f t="shared" si="14"/>
        <v>5684</v>
      </c>
      <c r="I44" s="121">
        <f t="shared" si="14"/>
        <v>5684</v>
      </c>
    </row>
    <row r="45" spans="1:9" x14ac:dyDescent="0.3">
      <c r="A45" s="122" t="s">
        <v>82</v>
      </c>
      <c r="B45" s="131">
        <f>'Historical Data'!B37</f>
        <v>7007</v>
      </c>
      <c r="C45" s="131">
        <f>'Historical Data'!C37</f>
        <v>6382</v>
      </c>
      <c r="D45" s="131">
        <f>'Historical Data'!D37</f>
        <v>5276</v>
      </c>
      <c r="E45" s="121">
        <f>E113</f>
        <v>5396.9928081891203</v>
      </c>
      <c r="F45" s="121">
        <f t="shared" ref="F45:I45" si="15">F113</f>
        <v>5603.6041926454964</v>
      </c>
      <c r="G45" s="121">
        <f t="shared" si="15"/>
        <v>5880.2232832516602</v>
      </c>
      <c r="H45" s="121">
        <f t="shared" si="15"/>
        <v>6224.7288002924215</v>
      </c>
      <c r="I45" s="121">
        <f t="shared" si="15"/>
        <v>6628.2059218704944</v>
      </c>
    </row>
    <row r="46" spans="1:9" x14ac:dyDescent="0.3">
      <c r="A46" s="132" t="s">
        <v>139</v>
      </c>
      <c r="B46" s="133">
        <f>SUM(B39:B45)</f>
        <v>16016</v>
      </c>
      <c r="C46" s="133">
        <f>SUM(C39:C45)</f>
        <v>16356</v>
      </c>
      <c r="D46" s="133">
        <f>SUM(D39:D45)</f>
        <v>15692</v>
      </c>
      <c r="E46" s="134">
        <f>SUM(E39:E45)</f>
        <v>16092.185439429009</v>
      </c>
      <c r="F46" s="134">
        <f t="shared" ref="F46:I46" si="16">SUM(F39:F45)</f>
        <v>16598.619058733493</v>
      </c>
      <c r="G46" s="134">
        <f t="shared" si="16"/>
        <v>17173.257874165716</v>
      </c>
      <c r="H46" s="134">
        <f t="shared" si="16"/>
        <v>17805.490913615697</v>
      </c>
      <c r="I46" s="134">
        <f t="shared" si="16"/>
        <v>18471.892908689777</v>
      </c>
    </row>
    <row r="47" spans="1:9" x14ac:dyDescent="0.3">
      <c r="A47" s="122"/>
      <c r="B47" s="137"/>
      <c r="C47" s="137"/>
      <c r="D47" s="137"/>
      <c r="E47" s="121"/>
      <c r="F47" s="121"/>
      <c r="G47" s="121"/>
      <c r="H47" s="121"/>
      <c r="I47" s="121"/>
    </row>
    <row r="48" spans="1:9" x14ac:dyDescent="0.3">
      <c r="A48" s="132" t="s">
        <v>83</v>
      </c>
      <c r="B48" s="133">
        <f>SUM(B36,B46)</f>
        <v>32735</v>
      </c>
      <c r="C48" s="133">
        <f>SUM(C36,C46)</f>
        <v>34713</v>
      </c>
      <c r="D48" s="133">
        <f>SUM(D36,D46)</f>
        <v>35639</v>
      </c>
      <c r="E48" s="134">
        <f>SUM(E36,E46)</f>
        <v>37817.29880173094</v>
      </c>
      <c r="F48" s="134">
        <f t="shared" ref="F48:I48" si="17">SUM(F36,F46)</f>
        <v>40103.345077892911</v>
      </c>
      <c r="G48" s="134">
        <f t="shared" si="17"/>
        <v>42477.144257261942</v>
      </c>
      <c r="H48" s="134">
        <f t="shared" si="17"/>
        <v>44910.979601481624</v>
      </c>
      <c r="I48" s="134">
        <f t="shared" si="17"/>
        <v>47366.224780396529</v>
      </c>
    </row>
    <row r="49" spans="1:9" x14ac:dyDescent="0.3">
      <c r="A49" s="122"/>
      <c r="B49" s="137"/>
      <c r="C49" s="137"/>
      <c r="D49" s="137"/>
      <c r="E49" s="121"/>
      <c r="F49" s="121"/>
      <c r="G49" s="121"/>
      <c r="H49" s="121"/>
      <c r="I49" s="121"/>
    </row>
    <row r="50" spans="1:9" x14ac:dyDescent="0.3">
      <c r="A50" s="120" t="s">
        <v>84</v>
      </c>
      <c r="B50" s="139"/>
      <c r="C50" s="139"/>
      <c r="D50" s="139"/>
      <c r="E50" s="140"/>
      <c r="F50" s="140"/>
      <c r="G50" s="140"/>
      <c r="H50" s="140"/>
      <c r="I50" s="140"/>
    </row>
    <row r="51" spans="1:9" x14ac:dyDescent="0.3">
      <c r="A51" s="122" t="s">
        <v>85</v>
      </c>
      <c r="B51" s="131">
        <f>'Historical Data'!B43</f>
        <v>18642</v>
      </c>
      <c r="C51" s="131">
        <f>'Historical Data'!C43</f>
        <v>19676</v>
      </c>
      <c r="D51" s="131">
        <f>'Historical Data'!D43</f>
        <v>20395</v>
      </c>
      <c r="E51" s="121">
        <f>SUM(D51,E21,E107)</f>
        <v>21407.901108783997</v>
      </c>
      <c r="F51" s="121">
        <f>SUM(E51,F21,F107)</f>
        <v>22479.657123369147</v>
      </c>
      <c r="G51" s="121">
        <f>SUM(F51,G21,G107)</f>
        <v>23595.840196534922</v>
      </c>
      <c r="H51" s="121">
        <f>SUM(G51,H21,H107)</f>
        <v>24757.805128258602</v>
      </c>
      <c r="I51" s="121">
        <f>SUM(H51,I21,I107)</f>
        <v>25961.30488036287</v>
      </c>
    </row>
    <row r="52" spans="1:9" x14ac:dyDescent="0.3">
      <c r="A52" s="122" t="s">
        <v>86</v>
      </c>
      <c r="B52" s="131">
        <f>'Historical Data'!B44</f>
        <v>30</v>
      </c>
      <c r="C52" s="131">
        <f>'Historical Data'!C44</f>
        <v>0</v>
      </c>
      <c r="D52" s="131">
        <f>'Historical Data'!D44</f>
        <v>0</v>
      </c>
      <c r="E52" s="121">
        <f>D52</f>
        <v>0</v>
      </c>
      <c r="F52" s="121">
        <f t="shared" ref="F52:I52" si="18">E52</f>
        <v>0</v>
      </c>
      <c r="G52" s="121">
        <f t="shared" si="18"/>
        <v>0</v>
      </c>
      <c r="H52" s="121">
        <f t="shared" si="18"/>
        <v>0</v>
      </c>
      <c r="I52" s="121">
        <f t="shared" si="18"/>
        <v>0</v>
      </c>
    </row>
    <row r="53" spans="1:9" x14ac:dyDescent="0.3">
      <c r="A53" s="132" t="s">
        <v>140</v>
      </c>
      <c r="B53" s="133">
        <f>SUM(B51:B52)</f>
        <v>18672</v>
      </c>
      <c r="C53" s="133">
        <f>SUM(C51:C52)</f>
        <v>19676</v>
      </c>
      <c r="D53" s="133">
        <f>SUM(D51:D52)</f>
        <v>20395</v>
      </c>
      <c r="E53" s="134">
        <f>SUM(E51:E52)</f>
        <v>21407.901108783997</v>
      </c>
      <c r="F53" s="134">
        <f t="shared" ref="F53:I53" si="19">SUM(F51:F52)</f>
        <v>22479.657123369147</v>
      </c>
      <c r="G53" s="134">
        <f t="shared" si="19"/>
        <v>23595.840196534922</v>
      </c>
      <c r="H53" s="134">
        <f t="shared" si="19"/>
        <v>24757.805128258602</v>
      </c>
      <c r="I53" s="134">
        <f t="shared" si="19"/>
        <v>25961.30488036287</v>
      </c>
    </row>
    <row r="54" spans="1:9" x14ac:dyDescent="0.3">
      <c r="A54" s="122"/>
      <c r="B54" s="137"/>
      <c r="C54" s="137"/>
      <c r="D54" s="137"/>
      <c r="E54" s="121"/>
      <c r="F54" s="121"/>
      <c r="G54" s="121"/>
      <c r="H54" s="121"/>
      <c r="I54" s="121"/>
    </row>
    <row r="55" spans="1:9" x14ac:dyDescent="0.3">
      <c r="A55" s="120" t="s">
        <v>87</v>
      </c>
      <c r="B55" s="139"/>
      <c r="C55" s="139"/>
      <c r="D55" s="139"/>
      <c r="E55" s="140"/>
      <c r="F55" s="140"/>
      <c r="G55" s="140"/>
      <c r="H55" s="140"/>
      <c r="I55" s="140"/>
    </row>
    <row r="56" spans="1:9" x14ac:dyDescent="0.3">
      <c r="A56" s="122" t="s">
        <v>88</v>
      </c>
      <c r="B56" s="131">
        <f>'Historical Data'!B47</f>
        <v>362</v>
      </c>
      <c r="C56" s="131">
        <f>'Historical Data'!C47</f>
        <v>348</v>
      </c>
      <c r="D56" s="131">
        <f>'Historical Data'!D47</f>
        <v>345</v>
      </c>
      <c r="E56" s="121">
        <f>E6*Assumptions!B22</f>
        <v>394.31056272544504</v>
      </c>
      <c r="F56" s="121">
        <f>F6*Assumptions!C22</f>
        <v>417.96919648897176</v>
      </c>
      <c r="G56" s="121">
        <f>G6*Assumptions!D22</f>
        <v>440.9575022958652</v>
      </c>
      <c r="H56" s="121">
        <f>H6*Assumptions!E22</f>
        <v>463.00537741065847</v>
      </c>
      <c r="I56" s="121">
        <f>I6*Assumptions!F22</f>
        <v>483.84061939413806</v>
      </c>
    </row>
    <row r="57" spans="1:9" x14ac:dyDescent="0.3">
      <c r="A57" s="122" t="s">
        <v>89</v>
      </c>
      <c r="B57" s="131">
        <f>'Historical Data'!B48</f>
        <v>248</v>
      </c>
      <c r="C57" s="131">
        <f>'Historical Data'!C48</f>
        <v>251</v>
      </c>
      <c r="D57" s="131">
        <f>'Historical Data'!D48</f>
        <v>231</v>
      </c>
      <c r="E57" s="121">
        <f>E6*Assumptions!B23</f>
        <v>272.86002885163828</v>
      </c>
      <c r="F57" s="121">
        <f>F6*Assumptions!C23</f>
        <v>289.23163058273661</v>
      </c>
      <c r="G57" s="121">
        <f>G6*Assumptions!D23</f>
        <v>305.13937026478715</v>
      </c>
      <c r="H57" s="121">
        <f>H6*Assumptions!E23</f>
        <v>320.39633877802646</v>
      </c>
      <c r="I57" s="121">
        <f>I6*Assumptions!F23</f>
        <v>334.81417402303765</v>
      </c>
    </row>
    <row r="58" spans="1:9" x14ac:dyDescent="0.3">
      <c r="A58" s="122" t="s">
        <v>90</v>
      </c>
      <c r="B58" s="131">
        <f>'Historical Data'!B49</f>
        <v>0</v>
      </c>
      <c r="C58" s="131">
        <f>'Historical Data'!C49</f>
        <v>0</v>
      </c>
      <c r="D58" s="131">
        <f>'Historical Data'!D49</f>
        <v>0</v>
      </c>
      <c r="E58" s="121">
        <f>D58</f>
        <v>0</v>
      </c>
      <c r="F58" s="121">
        <f t="shared" ref="F58:I58" si="20">E58</f>
        <v>0</v>
      </c>
      <c r="G58" s="121">
        <f t="shared" si="20"/>
        <v>0</v>
      </c>
      <c r="H58" s="121">
        <f t="shared" si="20"/>
        <v>0</v>
      </c>
      <c r="I58" s="121">
        <f t="shared" si="20"/>
        <v>0</v>
      </c>
    </row>
    <row r="59" spans="1:9" x14ac:dyDescent="0.3">
      <c r="A59" s="122" t="s">
        <v>91</v>
      </c>
      <c r="B59" s="131">
        <f>'Historical Data'!B50</f>
        <v>4123</v>
      </c>
      <c r="C59" s="131">
        <f>'Historical Data'!C50</f>
        <v>4180</v>
      </c>
      <c r="D59" s="131">
        <f>'Historical Data'!D50</f>
        <v>4394</v>
      </c>
      <c r="E59" s="121">
        <f>'Supporting Schedules'!B28*Assumptions!B25</f>
        <v>4831.1479643155426</v>
      </c>
      <c r="F59" s="121">
        <f>'Supporting Schedules'!C28*Assumptions!C25</f>
        <v>5311.1779181675638</v>
      </c>
      <c r="G59" s="121">
        <f>'Supporting Schedules'!D28*Assumptions!D25</f>
        <v>5817.6095194814452</v>
      </c>
      <c r="H59" s="121">
        <f>'Supporting Schedules'!E28*Assumptions!E25</f>
        <v>6349.3627008610229</v>
      </c>
      <c r="I59" s="121">
        <f>'Supporting Schedules'!F28*Assumptions!F25</f>
        <v>6905.0447754026809</v>
      </c>
    </row>
    <row r="60" spans="1:9" x14ac:dyDescent="0.3">
      <c r="A60" s="122" t="s">
        <v>92</v>
      </c>
      <c r="B60" s="131">
        <f>'Historical Data'!B51</f>
        <v>394</v>
      </c>
      <c r="C60" s="131">
        <f>'Historical Data'!C51</f>
        <v>72</v>
      </c>
      <c r="D60" s="131">
        <f>'Historical Data'!D51</f>
        <v>101</v>
      </c>
      <c r="E60" s="121">
        <f>D60</f>
        <v>101</v>
      </c>
      <c r="F60" s="121">
        <f t="shared" ref="F60:I60" si="21">E60</f>
        <v>101</v>
      </c>
      <c r="G60" s="121">
        <f t="shared" si="21"/>
        <v>101</v>
      </c>
      <c r="H60" s="121">
        <f t="shared" si="21"/>
        <v>101</v>
      </c>
      <c r="I60" s="121">
        <f t="shared" si="21"/>
        <v>101</v>
      </c>
    </row>
    <row r="61" spans="1:9" x14ac:dyDescent="0.3">
      <c r="A61" s="132" t="s">
        <v>141</v>
      </c>
      <c r="B61" s="133">
        <f>SUM(B56:B60)</f>
        <v>5127</v>
      </c>
      <c r="C61" s="133">
        <f>SUM(C56:C60)</f>
        <v>4851</v>
      </c>
      <c r="D61" s="133">
        <f>SUM(D56:D60)</f>
        <v>5071</v>
      </c>
      <c r="E61" s="134">
        <f>SUM(E56:E60)</f>
        <v>5599.3185558926261</v>
      </c>
      <c r="F61" s="134">
        <f t="shared" ref="F61:I61" si="22">SUM(F56:F60)</f>
        <v>6119.3787452392717</v>
      </c>
      <c r="G61" s="134">
        <f t="shared" si="22"/>
        <v>6664.7063920420978</v>
      </c>
      <c r="H61" s="134">
        <f t="shared" si="22"/>
        <v>7233.7644170497078</v>
      </c>
      <c r="I61" s="134">
        <f t="shared" si="22"/>
        <v>7824.6995688198567</v>
      </c>
    </row>
    <row r="62" spans="1:9" x14ac:dyDescent="0.3">
      <c r="A62" s="122"/>
      <c r="B62" s="137"/>
      <c r="C62" s="137"/>
      <c r="D62" s="137"/>
      <c r="E62" s="121"/>
      <c r="F62" s="121"/>
      <c r="G62" s="121"/>
      <c r="H62" s="121"/>
      <c r="I62" s="121"/>
    </row>
    <row r="63" spans="1:9" x14ac:dyDescent="0.3">
      <c r="A63" s="120" t="s">
        <v>93</v>
      </c>
      <c r="B63" s="139"/>
      <c r="C63" s="139"/>
      <c r="D63" s="139"/>
      <c r="E63" s="140"/>
      <c r="F63" s="140"/>
      <c r="G63" s="140"/>
      <c r="H63" s="140"/>
      <c r="I63" s="140"/>
    </row>
    <row r="64" spans="1:9" x14ac:dyDescent="0.3">
      <c r="A64" s="122" t="s">
        <v>90</v>
      </c>
      <c r="B64" s="131">
        <f>'Historical Data'!B54</f>
        <v>16</v>
      </c>
      <c r="C64" s="131">
        <f>'Historical Data'!C54</f>
        <v>7</v>
      </c>
      <c r="D64" s="131">
        <f>'Historical Data'!D54</f>
        <v>2</v>
      </c>
      <c r="E64" s="121">
        <f>D64</f>
        <v>2</v>
      </c>
      <c r="F64" s="121">
        <f t="shared" ref="F64:I64" si="23">E64</f>
        <v>2</v>
      </c>
      <c r="G64" s="121">
        <f t="shared" si="23"/>
        <v>2</v>
      </c>
      <c r="H64" s="121">
        <f t="shared" si="23"/>
        <v>2</v>
      </c>
      <c r="I64" s="121">
        <f t="shared" si="23"/>
        <v>2</v>
      </c>
    </row>
    <row r="65" spans="1:9" x14ac:dyDescent="0.3">
      <c r="A65" s="122" t="s">
        <v>94</v>
      </c>
      <c r="B65" s="131">
        <f>'Historical Data'!B55</f>
        <v>26</v>
      </c>
      <c r="C65" s="131">
        <f>'Historical Data'!C55</f>
        <v>48</v>
      </c>
      <c r="D65" s="131">
        <f>'Historical Data'!D55</f>
        <v>43</v>
      </c>
      <c r="E65" s="121">
        <f>D65</f>
        <v>43</v>
      </c>
      <c r="F65" s="121">
        <f t="shared" ref="F65:I65" si="24">E65</f>
        <v>43</v>
      </c>
      <c r="G65" s="121">
        <f t="shared" si="24"/>
        <v>43</v>
      </c>
      <c r="H65" s="121">
        <f t="shared" si="24"/>
        <v>43</v>
      </c>
      <c r="I65" s="121">
        <f t="shared" si="24"/>
        <v>43</v>
      </c>
    </row>
    <row r="66" spans="1:9" x14ac:dyDescent="0.3">
      <c r="A66" s="122" t="s">
        <v>95</v>
      </c>
      <c r="B66" s="131">
        <f>'Historical Data'!B56</f>
        <v>1428</v>
      </c>
      <c r="C66" s="131">
        <f>'Historical Data'!C56</f>
        <v>1542</v>
      </c>
      <c r="D66" s="131">
        <f>'Historical Data'!D56</f>
        <v>1539</v>
      </c>
      <c r="E66" s="121">
        <f>'Supporting Schedules'!B28*(1-Assumptions!B25)</f>
        <v>1715.5184356844566</v>
      </c>
      <c r="F66" s="121">
        <f>'Supporting Schedules'!C28*(1-Assumptions!C25)</f>
        <v>1885.9748658324352</v>
      </c>
      <c r="G66" s="121">
        <f>'Supporting Schedules'!D28*(1-Assumptions!D25)</f>
        <v>2065.8063996385522</v>
      </c>
      <c r="H66" s="121">
        <f>'Supporting Schedules'!E28*(1-Assumptions!E25)</f>
        <v>2254.629510134976</v>
      </c>
      <c r="I66" s="121">
        <f>'Supporting Schedules'!F28*(1-Assumptions!F25)</f>
        <v>2451.9496606037387</v>
      </c>
    </row>
    <row r="67" spans="1:9" x14ac:dyDescent="0.3">
      <c r="A67" s="122" t="s">
        <v>96</v>
      </c>
      <c r="B67" s="131">
        <f>'Historical Data'!B57</f>
        <v>395</v>
      </c>
      <c r="C67" s="131">
        <f>'Historical Data'!C57</f>
        <v>312</v>
      </c>
      <c r="D67" s="131">
        <f>'Historical Data'!D57</f>
        <v>318</v>
      </c>
      <c r="E67" s="121">
        <f>D67</f>
        <v>318</v>
      </c>
      <c r="F67" s="121">
        <f t="shared" ref="F67:I67" si="25">E67</f>
        <v>318</v>
      </c>
      <c r="G67" s="121">
        <f t="shared" si="25"/>
        <v>318</v>
      </c>
      <c r="H67" s="121">
        <f t="shared" si="25"/>
        <v>318</v>
      </c>
      <c r="I67" s="121">
        <f t="shared" si="25"/>
        <v>318</v>
      </c>
    </row>
    <row r="68" spans="1:9" x14ac:dyDescent="0.3">
      <c r="A68" s="122" t="s">
        <v>97</v>
      </c>
      <c r="B68" s="131">
        <f>'Historical Data'!B58</f>
        <v>7072</v>
      </c>
      <c r="C68" s="131">
        <f>'Historical Data'!C58</f>
        <v>8278</v>
      </c>
      <c r="D68" s="131">
        <f>'Historical Data'!D58</f>
        <v>8269</v>
      </c>
      <c r="E68" s="121">
        <f>-E7*Assumptions!B15/365</f>
        <v>8729.5607013698645</v>
      </c>
      <c r="F68" s="121">
        <f>-F7*Assumptions!C15/365</f>
        <v>9253.3343434520575</v>
      </c>
      <c r="G68" s="121">
        <f>-G7*Assumptions!D15/365</f>
        <v>9785.7912690463581</v>
      </c>
      <c r="H68" s="121">
        <f>-H7*Assumptions!E15/365</f>
        <v>10299.780546038337</v>
      </c>
      <c r="I68" s="121">
        <f>-I7*Assumptions!F15/365</f>
        <v>10763.270670610062</v>
      </c>
    </row>
    <row r="69" spans="1:9" x14ac:dyDescent="0.3">
      <c r="A69" s="132" t="s">
        <v>142</v>
      </c>
      <c r="B69" s="133">
        <f>SUM(B64:B68)</f>
        <v>8937</v>
      </c>
      <c r="C69" s="133">
        <f>SUM(C64:C68)</f>
        <v>10187</v>
      </c>
      <c r="D69" s="133">
        <f>SUM(D64:D68)</f>
        <v>10171</v>
      </c>
      <c r="E69" s="134">
        <f>SUM(E64:E68)</f>
        <v>10808.079137054321</v>
      </c>
      <c r="F69" s="134">
        <f t="shared" ref="F69:I69" si="26">SUM(F64:F68)</f>
        <v>11502.309209284493</v>
      </c>
      <c r="G69" s="134">
        <f t="shared" si="26"/>
        <v>12214.59766868491</v>
      </c>
      <c r="H69" s="134">
        <f t="shared" si="26"/>
        <v>12917.410056173314</v>
      </c>
      <c r="I69" s="134">
        <f t="shared" si="26"/>
        <v>13578.220331213801</v>
      </c>
    </row>
    <row r="70" spans="1:9" x14ac:dyDescent="0.3">
      <c r="A70" s="122"/>
      <c r="B70" s="137"/>
      <c r="C70" s="137"/>
      <c r="D70" s="137"/>
      <c r="E70" s="121"/>
      <c r="F70" s="121"/>
      <c r="G70" s="121"/>
      <c r="H70" s="121"/>
      <c r="I70" s="121"/>
    </row>
    <row r="71" spans="1:9" x14ac:dyDescent="0.3">
      <c r="A71" s="132" t="s">
        <v>98</v>
      </c>
      <c r="B71" s="133">
        <f>SUM(B53,B61,B69)</f>
        <v>32736</v>
      </c>
      <c r="C71" s="133">
        <f>SUM(C53,C61,C69)</f>
        <v>34714</v>
      </c>
      <c r="D71" s="133">
        <f>SUM(D53,D61,D69)</f>
        <v>35637</v>
      </c>
      <c r="E71" s="134">
        <f>SUM(E53,E61,E69)</f>
        <v>37815.298801730947</v>
      </c>
      <c r="F71" s="134">
        <f t="shared" ref="F71:I71" si="27">SUM(F53,F61,F69)</f>
        <v>40101.345077892911</v>
      </c>
      <c r="G71" s="134">
        <f t="shared" si="27"/>
        <v>42475.144257261927</v>
      </c>
      <c r="H71" s="134">
        <f t="shared" si="27"/>
        <v>44908.979601481624</v>
      </c>
      <c r="I71" s="134">
        <f t="shared" si="27"/>
        <v>47364.224780396529</v>
      </c>
    </row>
    <row r="72" spans="1:9" x14ac:dyDescent="0.3">
      <c r="A72" s="141" t="s">
        <v>143</v>
      </c>
      <c r="B72" s="142">
        <f>B48-B71</f>
        <v>-1</v>
      </c>
      <c r="C72" s="142">
        <f>C48-C71</f>
        <v>-1</v>
      </c>
      <c r="D72" s="142">
        <f>D48-D71</f>
        <v>2</v>
      </c>
      <c r="E72" s="142">
        <f>E48-E71</f>
        <v>1.999999999992724</v>
      </c>
      <c r="F72" s="142">
        <f t="shared" ref="F72:I72" si="28">F48-F71</f>
        <v>2</v>
      </c>
      <c r="G72" s="142">
        <f t="shared" si="28"/>
        <v>2.0000000000145519</v>
      </c>
      <c r="H72" s="142">
        <f t="shared" si="28"/>
        <v>2</v>
      </c>
      <c r="I72" s="142">
        <f t="shared" si="28"/>
        <v>2</v>
      </c>
    </row>
    <row r="73" spans="1:9" x14ac:dyDescent="0.3">
      <c r="A73" s="122"/>
      <c r="B73" s="137"/>
      <c r="C73" s="137"/>
      <c r="D73" s="137"/>
      <c r="E73" s="121"/>
      <c r="F73" s="121"/>
      <c r="G73" s="121"/>
      <c r="H73" s="121"/>
      <c r="I73" s="121"/>
    </row>
    <row r="74" spans="1:9" x14ac:dyDescent="0.3">
      <c r="A74" s="122"/>
      <c r="B74" s="137"/>
      <c r="C74" s="137"/>
      <c r="D74" s="137"/>
      <c r="E74" s="121"/>
      <c r="F74" s="121"/>
      <c r="G74" s="121"/>
      <c r="H74" s="121"/>
      <c r="I74" s="121"/>
    </row>
    <row r="75" spans="1:9" x14ac:dyDescent="0.3">
      <c r="A75" s="129" t="s">
        <v>99</v>
      </c>
      <c r="B75" s="138"/>
      <c r="C75" s="138"/>
      <c r="D75" s="138"/>
      <c r="E75" s="138"/>
      <c r="F75" s="138"/>
      <c r="G75" s="138"/>
      <c r="H75" s="138"/>
      <c r="I75" s="138"/>
    </row>
    <row r="76" spans="1:9" x14ac:dyDescent="0.3">
      <c r="A76" s="122" t="s">
        <v>100</v>
      </c>
      <c r="B76" s="131">
        <f>'Historical Data'!B65</f>
        <v>6869</v>
      </c>
      <c r="C76" s="131">
        <f>'Historical Data'!C65</f>
        <v>7577</v>
      </c>
      <c r="D76" s="131">
        <f>'Historical Data'!D65</f>
        <v>8020</v>
      </c>
      <c r="E76" s="121">
        <f>E18</f>
        <v>8701.8995599999998</v>
      </c>
      <c r="F76" s="121">
        <f>F18</f>
        <v>9207.52589849785</v>
      </c>
      <c r="G76" s="121">
        <f>G18</f>
        <v>9589.201659499784</v>
      </c>
      <c r="H76" s="121">
        <f>H18</f>
        <v>9982.516595564226</v>
      </c>
      <c r="I76" s="121">
        <f>I18</f>
        <v>10339.344949349421</v>
      </c>
    </row>
    <row r="77" spans="1:9" x14ac:dyDescent="0.3">
      <c r="A77" s="122" t="s">
        <v>58</v>
      </c>
      <c r="B77" s="131">
        <f>'Historical Data'!B66</f>
        <v>3041</v>
      </c>
      <c r="C77" s="131">
        <f>'Historical Data'!C66</f>
        <v>3174</v>
      </c>
      <c r="D77" s="131">
        <f>'Historical Data'!D66</f>
        <v>3270</v>
      </c>
      <c r="E77" s="121">
        <f>-E13</f>
        <v>3433.3</v>
      </c>
      <c r="F77" s="121">
        <f>-F13</f>
        <v>3700.9993839021517</v>
      </c>
      <c r="G77" s="121">
        <f>-G13</f>
        <v>3981.5920084482182</v>
      </c>
      <c r="H77" s="121">
        <f>-H13</f>
        <v>4266.816755781173</v>
      </c>
      <c r="I77" s="121">
        <f>-I13</f>
        <v>4551.2084028065219</v>
      </c>
    </row>
    <row r="78" spans="1:9" x14ac:dyDescent="0.3">
      <c r="A78" s="122" t="s">
        <v>101</v>
      </c>
      <c r="B78" s="131">
        <f>'Historical Data'!B67</f>
        <v>24</v>
      </c>
      <c r="C78" s="131">
        <f>'Historical Data'!C67</f>
        <v>39</v>
      </c>
      <c r="D78" s="131">
        <f>'Historical Data'!D67</f>
        <v>13</v>
      </c>
      <c r="E78" s="121">
        <v>0</v>
      </c>
      <c r="F78" s="121">
        <v>0</v>
      </c>
      <c r="G78" s="121">
        <v>0</v>
      </c>
      <c r="H78" s="121">
        <v>0</v>
      </c>
      <c r="I78" s="121">
        <v>0</v>
      </c>
    </row>
    <row r="79" spans="1:9" x14ac:dyDescent="0.3">
      <c r="A79" s="122" t="s">
        <v>144</v>
      </c>
      <c r="B79" s="131"/>
      <c r="C79" s="131"/>
      <c r="D79" s="131"/>
      <c r="E79" s="121">
        <f>E56-D56</f>
        <v>49.310562725445038</v>
      </c>
      <c r="F79" s="121">
        <f t="shared" ref="F79:I79" si="29">F56-E56</f>
        <v>23.658633763526723</v>
      </c>
      <c r="G79" s="121">
        <f t="shared" si="29"/>
        <v>22.988305806893436</v>
      </c>
      <c r="H79" s="121">
        <f t="shared" si="29"/>
        <v>22.047875114793271</v>
      </c>
      <c r="I79" s="121">
        <f t="shared" si="29"/>
        <v>20.835241983479591</v>
      </c>
    </row>
    <row r="80" spans="1:9" x14ac:dyDescent="0.3">
      <c r="A80" s="17" t="s">
        <v>145</v>
      </c>
      <c r="B80" s="131"/>
      <c r="C80" s="131"/>
      <c r="D80" s="131"/>
      <c r="E80" s="121">
        <f>E57-D57</f>
        <v>41.860028851638276</v>
      </c>
      <c r="F80" s="121">
        <f t="shared" ref="F80:I80" si="30">F57-E57</f>
        <v>16.371601731098337</v>
      </c>
      <c r="G80" s="121">
        <f t="shared" si="30"/>
        <v>15.907739682050533</v>
      </c>
      <c r="H80" s="121">
        <f t="shared" si="30"/>
        <v>15.256968513239315</v>
      </c>
      <c r="I80" s="121">
        <f t="shared" si="30"/>
        <v>14.41783524501119</v>
      </c>
    </row>
    <row r="81" spans="1:9" x14ac:dyDescent="0.3">
      <c r="A81" s="122" t="s">
        <v>61</v>
      </c>
      <c r="B81" s="131">
        <f>'Historical Data'!B68</f>
        <v>-72</v>
      </c>
      <c r="C81" s="131">
        <f>'Historical Data'!C68</f>
        <v>-99</v>
      </c>
      <c r="D81" s="131">
        <f>'Historical Data'!D68</f>
        <v>-102</v>
      </c>
      <c r="E81" s="121">
        <f>-E17</f>
        <v>-106.63620000000002</v>
      </c>
      <c r="F81" s="121">
        <f>-F17</f>
        <v>-113.03437200000002</v>
      </c>
      <c r="G81" s="121">
        <f>-G17</f>
        <v>-119.25126246000002</v>
      </c>
      <c r="H81" s="121">
        <f>-H17</f>
        <v>-125.21382558300002</v>
      </c>
      <c r="I81" s="121">
        <f>-I17</f>
        <v>-130.84844773423501</v>
      </c>
    </row>
    <row r="82" spans="1:9" x14ac:dyDescent="0.3">
      <c r="A82" s="122" t="s">
        <v>102</v>
      </c>
      <c r="B82" s="131">
        <f>'Historical Data'!B69</f>
        <v>196</v>
      </c>
      <c r="C82" s="131">
        <f>'Historical Data'!C69</f>
        <v>223</v>
      </c>
      <c r="D82" s="131">
        <f>'Historical Data'!D69</f>
        <v>215</v>
      </c>
      <c r="E82" s="121">
        <f>E6*Assumptions!B29</f>
        <v>230.05</v>
      </c>
      <c r="F82" s="121">
        <f>F6*Assumptions!C29</f>
        <v>243.85300000000004</v>
      </c>
      <c r="G82" s="121">
        <f>G6*Assumptions!D29</f>
        <v>257.26491500000003</v>
      </c>
      <c r="H82" s="121">
        <f>H6*Assumptions!E29</f>
        <v>270.12816075000006</v>
      </c>
      <c r="I82" s="121">
        <f>I6*Assumptions!F29</f>
        <v>282.28392798375006</v>
      </c>
    </row>
    <row r="83" spans="1:9" x14ac:dyDescent="0.3">
      <c r="A83" s="122" t="s">
        <v>103</v>
      </c>
      <c r="B83" s="131">
        <f>'Historical Data'!B70</f>
        <v>125</v>
      </c>
      <c r="C83" s="131">
        <f>'Historical Data'!C70</f>
        <v>111</v>
      </c>
      <c r="D83" s="131">
        <f>'Historical Data'!D70</f>
        <v>204</v>
      </c>
      <c r="E83" s="121">
        <f>E6*Assumptions!B30</f>
        <v>0</v>
      </c>
      <c r="F83" s="121">
        <f>F6*Assumptions!C30</f>
        <v>0</v>
      </c>
      <c r="G83" s="121">
        <f>G6*Assumptions!D30</f>
        <v>0</v>
      </c>
      <c r="H83" s="121">
        <f>H6*Assumptions!E30</f>
        <v>0</v>
      </c>
      <c r="I83" s="121">
        <f>I6*Assumptions!F30</f>
        <v>0</v>
      </c>
    </row>
    <row r="84" spans="1:9" x14ac:dyDescent="0.3">
      <c r="A84" s="122" t="s">
        <v>104</v>
      </c>
      <c r="B84" s="131">
        <f>'Historical Data'!B71</f>
        <v>-1460</v>
      </c>
      <c r="C84" s="131">
        <f>'Historical Data'!C71</f>
        <v>-1539</v>
      </c>
      <c r="D84" s="131">
        <f>'Historical Data'!D71</f>
        <v>-1585</v>
      </c>
      <c r="E84" s="121">
        <f>E19+(E67-D67)-(E41-D41)</f>
        <v>-1947.1480515840001</v>
      </c>
      <c r="F84" s="121">
        <f t="shared" ref="F84:I84" si="31">F19+(F67-E67)-(F41-E41)</f>
        <v>-2073.8118312458705</v>
      </c>
      <c r="G84" s="121">
        <f t="shared" si="31"/>
        <v>-2156.530708774395</v>
      </c>
      <c r="H84" s="121">
        <f t="shared" si="31"/>
        <v>-2244.8939719742302</v>
      </c>
      <c r="I84" s="121">
        <f t="shared" si="31"/>
        <v>-2324.0062237790585</v>
      </c>
    </row>
    <row r="85" spans="1:9" x14ac:dyDescent="0.3">
      <c r="A85" s="132" t="s">
        <v>105</v>
      </c>
      <c r="B85" s="133">
        <f>SUM(B76:B84)</f>
        <v>8723</v>
      </c>
      <c r="C85" s="133">
        <f>SUM(C76:C84)</f>
        <v>9486</v>
      </c>
      <c r="D85" s="133">
        <f>SUM(D76:D84)</f>
        <v>10035</v>
      </c>
      <c r="E85" s="134">
        <f>SUM(E76:E84)</f>
        <v>10402.635899993084</v>
      </c>
      <c r="F85" s="134">
        <f t="shared" ref="F85:I85" si="32">SUM(F76:F84)</f>
        <v>11005.562314648756</v>
      </c>
      <c r="G85" s="134">
        <f t="shared" si="32"/>
        <v>11591.172657202551</v>
      </c>
      <c r="H85" s="134">
        <f t="shared" si="32"/>
        <v>12186.6585581662</v>
      </c>
      <c r="I85" s="134">
        <f t="shared" si="32"/>
        <v>12753.235685854888</v>
      </c>
    </row>
    <row r="86" spans="1:9" x14ac:dyDescent="0.3">
      <c r="A86" s="122"/>
      <c r="B86" s="137"/>
      <c r="C86" s="137"/>
      <c r="D86" s="137"/>
      <c r="E86" s="121"/>
      <c r="F86" s="121"/>
      <c r="G86" s="121"/>
      <c r="H86" s="121"/>
      <c r="I86" s="121"/>
    </row>
    <row r="87" spans="1:9" x14ac:dyDescent="0.3">
      <c r="A87" s="122" t="s">
        <v>76</v>
      </c>
      <c r="B87" s="131">
        <f>'Historical Data'!B73</f>
        <v>130</v>
      </c>
      <c r="C87" s="131">
        <f>'Historical Data'!C73</f>
        <v>-427</v>
      </c>
      <c r="D87" s="131">
        <f>'Historical Data'!D73</f>
        <v>9</v>
      </c>
      <c r="E87" s="121">
        <f>-(E39-D39)</f>
        <v>-145.82916164383596</v>
      </c>
      <c r="F87" s="121">
        <f t="shared" ref="F87:I87" si="33">-(F39-E39)</f>
        <v>-203.6897496986312</v>
      </c>
      <c r="G87" s="121">
        <f t="shared" si="33"/>
        <v>-207.06658217556105</v>
      </c>
      <c r="H87" s="121">
        <f t="shared" si="33"/>
        <v>-199.88471883021339</v>
      </c>
      <c r="I87" s="121">
        <f t="shared" si="33"/>
        <v>-180.24615955567106</v>
      </c>
    </row>
    <row r="88" spans="1:9" x14ac:dyDescent="0.3">
      <c r="A88" s="122" t="s">
        <v>106</v>
      </c>
      <c r="B88" s="131">
        <f>'Historical Data'!B74</f>
        <v>-341</v>
      </c>
      <c r="C88" s="131">
        <f>'Historical Data'!C74</f>
        <v>-164</v>
      </c>
      <c r="D88" s="131">
        <f>'Historical Data'!D74</f>
        <v>-149</v>
      </c>
      <c r="E88" s="121">
        <f>-((E40+E42+E43)-(D40+D42+D43))</f>
        <v>-135.44091945205491</v>
      </c>
      <c r="F88" s="121">
        <f t="shared" ref="F88:I88" si="34">-((F40+F42+F43)-(E40+E42+E43))</f>
        <v>-84.806455167123431</v>
      </c>
      <c r="G88" s="121">
        <f t="shared" si="34"/>
        <v>-82.403605604054974</v>
      </c>
      <c r="H88" s="121">
        <f t="shared" si="34"/>
        <v>-79.032549011161336</v>
      </c>
      <c r="I88" s="121">
        <f t="shared" si="34"/>
        <v>-74.685758815547842</v>
      </c>
    </row>
    <row r="89" spans="1:9" x14ac:dyDescent="0.3">
      <c r="A89" s="122" t="s">
        <v>107</v>
      </c>
      <c r="B89" s="131">
        <f>'Historical Data'!B75</f>
        <v>154</v>
      </c>
      <c r="C89" s="131">
        <f>'Historical Data'!C75</f>
        <v>392</v>
      </c>
      <c r="D89" s="131">
        <f>'Historical Data'!D75</f>
        <v>-663</v>
      </c>
      <c r="E89" s="121">
        <f>E68-D68</f>
        <v>460.56070136986455</v>
      </c>
      <c r="F89" s="121">
        <f t="shared" ref="F89:I89" si="35">F68-E68</f>
        <v>523.77364208219296</v>
      </c>
      <c r="G89" s="121">
        <f t="shared" si="35"/>
        <v>532.45692559430063</v>
      </c>
      <c r="H89" s="121">
        <f t="shared" si="35"/>
        <v>513.98927699197884</v>
      </c>
      <c r="I89" s="121">
        <f t="shared" si="35"/>
        <v>463.49012457172466</v>
      </c>
    </row>
    <row r="90" spans="1:9" x14ac:dyDescent="0.3">
      <c r="A90" s="132" t="s">
        <v>108</v>
      </c>
      <c r="B90" s="133">
        <f>SUM(B87:B89)</f>
        <v>-57</v>
      </c>
      <c r="C90" s="133">
        <f>SUM(C87:C89)</f>
        <v>-199</v>
      </c>
      <c r="D90" s="133">
        <f>SUM(D87:D89)</f>
        <v>-803</v>
      </c>
      <c r="E90" s="134">
        <f>SUM(E87:E89)</f>
        <v>179.29062027397367</v>
      </c>
      <c r="F90" s="134">
        <f t="shared" ref="F90:I90" si="36">SUM(F87:F89)</f>
        <v>235.27743721643833</v>
      </c>
      <c r="G90" s="134">
        <f t="shared" si="36"/>
        <v>242.9867378146846</v>
      </c>
      <c r="H90" s="134">
        <f t="shared" si="36"/>
        <v>235.07200915060412</v>
      </c>
      <c r="I90" s="134">
        <f t="shared" si="36"/>
        <v>208.55820620050577</v>
      </c>
    </row>
    <row r="91" spans="1:9" x14ac:dyDescent="0.3">
      <c r="A91" s="122"/>
      <c r="B91" s="137"/>
      <c r="C91" s="137"/>
      <c r="D91" s="137"/>
      <c r="E91" s="121"/>
      <c r="F91" s="121"/>
      <c r="G91" s="121"/>
      <c r="H91" s="121"/>
      <c r="I91" s="121"/>
    </row>
    <row r="92" spans="1:9" x14ac:dyDescent="0.3">
      <c r="A92" s="132" t="s">
        <v>146</v>
      </c>
      <c r="B92" s="133">
        <f>SUM(B85,B90)</f>
        <v>8666</v>
      </c>
      <c r="C92" s="133">
        <f>SUM(C85,C90)</f>
        <v>9287</v>
      </c>
      <c r="D92" s="133">
        <f>SUM(D85,D90)</f>
        <v>9232</v>
      </c>
      <c r="E92" s="134">
        <f>SUM(E85,E90)</f>
        <v>10581.926520267058</v>
      </c>
      <c r="F92" s="134">
        <f t="shared" ref="F92:I92" si="37">SUM(F85,F90)</f>
        <v>11240.839751865195</v>
      </c>
      <c r="G92" s="134">
        <f t="shared" si="37"/>
        <v>11834.159395017236</v>
      </c>
      <c r="H92" s="134">
        <f t="shared" si="37"/>
        <v>12421.730567316805</v>
      </c>
      <c r="I92" s="134">
        <f t="shared" si="37"/>
        <v>12961.793892055393</v>
      </c>
    </row>
    <row r="93" spans="1:9" x14ac:dyDescent="0.3">
      <c r="A93" s="122"/>
      <c r="B93" s="137"/>
      <c r="C93" s="137"/>
      <c r="D93" s="137"/>
      <c r="E93" s="121"/>
      <c r="F93" s="121"/>
      <c r="G93" s="121"/>
      <c r="H93" s="121"/>
      <c r="I93" s="121"/>
    </row>
    <row r="94" spans="1:9" x14ac:dyDescent="0.3">
      <c r="A94" s="122" t="s">
        <v>110</v>
      </c>
      <c r="B94" s="131">
        <f>'Historical Data'!B80</f>
        <v>-473</v>
      </c>
      <c r="C94" s="131">
        <f>'Historical Data'!C80</f>
        <v>-465</v>
      </c>
      <c r="D94" s="131">
        <f>'Historical Data'!D80</f>
        <v>-519</v>
      </c>
      <c r="E94" s="121">
        <f>-E6*Assumptions!B31</f>
        <v>-555.33000000000004</v>
      </c>
      <c r="F94" s="121">
        <f>-F6*Assumptions!C31</f>
        <v>-588.64980000000014</v>
      </c>
      <c r="G94" s="121">
        <f>-G6*Assumptions!D31</f>
        <v>-621.02553900000009</v>
      </c>
      <c r="H94" s="121">
        <f>-H6*Assumptions!E31</f>
        <v>-652.07681595000008</v>
      </c>
      <c r="I94" s="121">
        <f>-I6*Assumptions!F31</f>
        <v>-681.42027266775006</v>
      </c>
    </row>
    <row r="95" spans="1:9" x14ac:dyDescent="0.3">
      <c r="A95" s="122" t="s">
        <v>111</v>
      </c>
      <c r="B95" s="131">
        <f>'Historical Data'!B81</f>
        <v>-1399</v>
      </c>
      <c r="C95" s="131">
        <f>'Historical Data'!C81</f>
        <v>-2207</v>
      </c>
      <c r="D95" s="131">
        <f>'Historical Data'!D81</f>
        <v>-2193</v>
      </c>
      <c r="E95" s="121">
        <f>-E6*Assumptions!B26</f>
        <v>-2147.7846390215209</v>
      </c>
      <c r="F95" s="121">
        <f>-F6*Assumptions!C26</f>
        <v>-2276.6517173628122</v>
      </c>
      <c r="G95" s="121">
        <f>-G6*Assumptions!D26</f>
        <v>-2401.8675618177667</v>
      </c>
      <c r="H95" s="121">
        <f>-H6*Assumptions!E26</f>
        <v>-2521.9609399086553</v>
      </c>
      <c r="I95" s="121">
        <f>-I6*Assumptions!F26</f>
        <v>-2635.4491822045447</v>
      </c>
    </row>
    <row r="96" spans="1:9" x14ac:dyDescent="0.3">
      <c r="A96" s="122" t="s">
        <v>112</v>
      </c>
      <c r="B96" s="131">
        <f>'Historical Data'!B82</f>
        <v>0</v>
      </c>
      <c r="C96" s="131">
        <f>'Historical Data'!C82</f>
        <v>-14</v>
      </c>
      <c r="D96" s="131">
        <f>'Historical Data'!D82</f>
        <v>-16</v>
      </c>
      <c r="E96" s="121">
        <v>0</v>
      </c>
      <c r="F96" s="121">
        <v>0</v>
      </c>
      <c r="G96" s="121">
        <v>0</v>
      </c>
      <c r="H96" s="121">
        <v>0</v>
      </c>
      <c r="I96" s="121">
        <v>0</v>
      </c>
    </row>
    <row r="97" spans="1:9" x14ac:dyDescent="0.3">
      <c r="A97" s="122" t="s">
        <v>113</v>
      </c>
      <c r="B97" s="131">
        <f>'Historical Data'!B83</f>
        <v>78</v>
      </c>
      <c r="C97" s="131">
        <f>'Historical Data'!C83</f>
        <v>55</v>
      </c>
      <c r="D97" s="131">
        <f>'Historical Data'!D83</f>
        <v>60</v>
      </c>
      <c r="E97" s="121">
        <v>0</v>
      </c>
      <c r="F97" s="121">
        <v>0</v>
      </c>
      <c r="G97" s="121">
        <v>0</v>
      </c>
      <c r="H97" s="121">
        <v>0</v>
      </c>
      <c r="I97" s="121">
        <v>0</v>
      </c>
    </row>
    <row r="98" spans="1:9" x14ac:dyDescent="0.3">
      <c r="A98" s="122" t="s">
        <v>114</v>
      </c>
      <c r="B98" s="131">
        <f>'Historical Data'!B84</f>
        <v>-17</v>
      </c>
      <c r="C98" s="131">
        <f>'Historical Data'!C84</f>
        <v>-4</v>
      </c>
      <c r="D98" s="131">
        <f>'Historical Data'!D84</f>
        <v>-6</v>
      </c>
      <c r="E98" s="121">
        <v>0</v>
      </c>
      <c r="F98" s="121">
        <v>0</v>
      </c>
      <c r="G98" s="121">
        <v>0</v>
      </c>
      <c r="H98" s="121">
        <v>0</v>
      </c>
      <c r="I98" s="121">
        <v>0</v>
      </c>
    </row>
    <row r="99" spans="1:9" x14ac:dyDescent="0.3">
      <c r="A99" s="122" t="s">
        <v>115</v>
      </c>
      <c r="B99" s="131">
        <f>'Historical Data'!B85</f>
        <v>-17</v>
      </c>
      <c r="C99" s="131">
        <f>'Historical Data'!C85</f>
        <v>-10</v>
      </c>
      <c r="D99" s="131">
        <f>'Historical Data'!D85</f>
        <v>-10</v>
      </c>
      <c r="E99" s="121">
        <f>MIN(0,D34-E34)</f>
        <v>-55.66612328041623</v>
      </c>
      <c r="F99" s="121">
        <f t="shared" ref="F99:I99" si="38">MIN(0,E34-F34)</f>
        <v>-15.519967396825052</v>
      </c>
      <c r="G99" s="121">
        <f t="shared" si="38"/>
        <v>-15.080234987248218</v>
      </c>
      <c r="H99" s="121">
        <f t="shared" si="38"/>
        <v>-14.463316283224515</v>
      </c>
      <c r="I99" s="121">
        <f t="shared" si="38"/>
        <v>-13.667833887647078</v>
      </c>
    </row>
    <row r="100" spans="1:9" x14ac:dyDescent="0.3">
      <c r="A100" s="122" t="s">
        <v>116</v>
      </c>
      <c r="B100" s="131">
        <f>'Historical Data'!B86</f>
        <v>11</v>
      </c>
      <c r="C100" s="131">
        <f>'Historical Data'!C86</f>
        <v>61</v>
      </c>
      <c r="D100" s="131">
        <f>'Historical Data'!D86</f>
        <v>13</v>
      </c>
      <c r="E100" s="121">
        <f>MAX(0,D34-E34)</f>
        <v>0</v>
      </c>
      <c r="F100" s="121">
        <f t="shared" ref="F100:I100" si="39">MAX(0,E34-F34)</f>
        <v>0</v>
      </c>
      <c r="G100" s="121">
        <f t="shared" si="39"/>
        <v>0</v>
      </c>
      <c r="H100" s="121">
        <f t="shared" si="39"/>
        <v>0</v>
      </c>
      <c r="I100" s="121">
        <f t="shared" si="39"/>
        <v>0</v>
      </c>
    </row>
    <row r="101" spans="1:9" x14ac:dyDescent="0.3">
      <c r="A101" s="122" t="s">
        <v>117</v>
      </c>
      <c r="B101" s="131">
        <f>'Historical Data'!B87</f>
        <v>107</v>
      </c>
      <c r="C101" s="131">
        <f>'Historical Data'!C87</f>
        <v>-705</v>
      </c>
      <c r="D101" s="131">
        <f>'Historical Data'!D87</f>
        <v>-545</v>
      </c>
      <c r="E101" s="121">
        <v>0</v>
      </c>
      <c r="F101" s="121">
        <v>0</v>
      </c>
      <c r="G101" s="121">
        <v>0</v>
      </c>
      <c r="H101" s="121">
        <v>0</v>
      </c>
      <c r="I101" s="121">
        <v>0</v>
      </c>
    </row>
    <row r="102" spans="1:9" x14ac:dyDescent="0.3">
      <c r="A102" s="132" t="s">
        <v>147</v>
      </c>
      <c r="B102" s="133">
        <f>SUM(B94:B101)</f>
        <v>-1710</v>
      </c>
      <c r="C102" s="133">
        <f>SUM(C94:C101)</f>
        <v>-3289</v>
      </c>
      <c r="D102" s="133">
        <f>SUM(D94:D101)</f>
        <v>-3216</v>
      </c>
      <c r="E102" s="134">
        <f>SUM(E94:E101)</f>
        <v>-2758.7807623019371</v>
      </c>
      <c r="F102" s="134">
        <f t="shared" ref="F102:I102" si="40">SUM(F94:F101)</f>
        <v>-2880.8214847596373</v>
      </c>
      <c r="G102" s="134">
        <f t="shared" si="40"/>
        <v>-3037.9733358050153</v>
      </c>
      <c r="H102" s="134">
        <f t="shared" si="40"/>
        <v>-3188.5010721418798</v>
      </c>
      <c r="I102" s="134">
        <f t="shared" si="40"/>
        <v>-3330.5372887599419</v>
      </c>
    </row>
    <row r="103" spans="1:9" x14ac:dyDescent="0.3">
      <c r="A103" s="122"/>
      <c r="B103" s="137"/>
      <c r="C103" s="137"/>
      <c r="D103" s="137"/>
      <c r="E103" s="121"/>
      <c r="F103" s="121"/>
      <c r="G103" s="121"/>
      <c r="H103" s="121"/>
      <c r="I103" s="121"/>
    </row>
    <row r="104" spans="1:9" x14ac:dyDescent="0.3">
      <c r="A104" s="122" t="s">
        <v>119</v>
      </c>
      <c r="B104" s="131">
        <f>'Historical Data'!B90</f>
        <v>-1</v>
      </c>
      <c r="C104" s="131">
        <f>'Historical Data'!C90</f>
        <v>0</v>
      </c>
      <c r="D104" s="131">
        <f>'Historical Data'!D90</f>
        <v>0</v>
      </c>
      <c r="E104" s="121">
        <f>0</f>
        <v>0</v>
      </c>
      <c r="F104" s="121">
        <f>0</f>
        <v>0</v>
      </c>
      <c r="G104" s="121">
        <f>0</f>
        <v>0</v>
      </c>
      <c r="H104" s="121">
        <f>0</f>
        <v>0</v>
      </c>
      <c r="I104" s="121">
        <f>0</f>
        <v>0</v>
      </c>
    </row>
    <row r="105" spans="1:9" x14ac:dyDescent="0.3">
      <c r="A105" s="122" t="s">
        <v>120</v>
      </c>
      <c r="B105" s="131">
        <f>'Historical Data'!B91</f>
        <v>4</v>
      </c>
      <c r="C105" s="131">
        <f>'Historical Data'!C91</f>
        <v>-8</v>
      </c>
      <c r="D105" s="131">
        <f>'Historical Data'!D91</f>
        <v>-5</v>
      </c>
      <c r="E105" s="121">
        <f>0</f>
        <v>0</v>
      </c>
      <c r="F105" s="121">
        <f>0</f>
        <v>0</v>
      </c>
      <c r="G105" s="121">
        <f>0</f>
        <v>0</v>
      </c>
      <c r="H105" s="121">
        <f>0</f>
        <v>0</v>
      </c>
      <c r="I105" s="121">
        <f>0</f>
        <v>0</v>
      </c>
    </row>
    <row r="106" spans="1:9" x14ac:dyDescent="0.3">
      <c r="A106" s="122" t="s">
        <v>121</v>
      </c>
      <c r="B106" s="131">
        <f>'Historical Data'!B92</f>
        <v>-1733</v>
      </c>
      <c r="C106" s="131">
        <f>'Historical Data'!C92</f>
        <v>-1802</v>
      </c>
      <c r="D106" s="131">
        <f>'Historical Data'!D92</f>
        <v>-1834</v>
      </c>
      <c r="E106" s="121">
        <f>-E6*Assumptions!B32</f>
        <v>-1962.38</v>
      </c>
      <c r="F106" s="121">
        <f>-F6*Assumptions!C32</f>
        <v>-2080.1228000000001</v>
      </c>
      <c r="G106" s="121">
        <f>-G6*Assumptions!D32</f>
        <v>-2194.5295540000002</v>
      </c>
      <c r="H106" s="121">
        <f>-H6*Assumptions!E32</f>
        <v>-2304.2560317000002</v>
      </c>
      <c r="I106" s="121">
        <f>-I6*Assumptions!F32</f>
        <v>-2407.9475531265002</v>
      </c>
    </row>
    <row r="107" spans="1:9" x14ac:dyDescent="0.3">
      <c r="A107" s="122" t="s">
        <v>122</v>
      </c>
      <c r="B107" s="131">
        <f>'Historical Data'!B93</f>
        <v>-3744</v>
      </c>
      <c r="C107" s="131">
        <f>'Historical Data'!C93</f>
        <v>-4797</v>
      </c>
      <c r="D107" s="131">
        <f>'Historical Data'!D93</f>
        <v>-5235</v>
      </c>
      <c r="E107" s="121">
        <f>-E21*Assumptions!B19</f>
        <v>-5739.7729497760001</v>
      </c>
      <c r="F107" s="121">
        <f>-F21*Assumptions!C19</f>
        <v>-6073.2840826491811</v>
      </c>
      <c r="G107" s="121">
        <f>-G21*Assumptions!D19</f>
        <v>-6325.0374146060576</v>
      </c>
      <c r="H107" s="121">
        <f>-H21*Assumptions!E19</f>
        <v>-6584.4679464341625</v>
      </c>
      <c r="I107" s="121">
        <f>-I21*Assumptions!F19</f>
        <v>-6819.8319285908783</v>
      </c>
    </row>
    <row r="108" spans="1:9" x14ac:dyDescent="0.3">
      <c r="A108" s="132" t="s">
        <v>148</v>
      </c>
      <c r="B108" s="133">
        <f>SUM(B104:B107)</f>
        <v>-5474</v>
      </c>
      <c r="C108" s="133">
        <f>SUM(C104:C107)</f>
        <v>-6607</v>
      </c>
      <c r="D108" s="133">
        <f>SUM(D104:D107)</f>
        <v>-7074</v>
      </c>
      <c r="E108" s="134">
        <f>SUM(E104:E107)</f>
        <v>-7702.1529497760002</v>
      </c>
      <c r="F108" s="134">
        <f t="shared" ref="F108:I108" si="41">SUM(F104:F107)</f>
        <v>-8153.4068826491812</v>
      </c>
      <c r="G108" s="134">
        <f t="shared" si="41"/>
        <v>-8519.5669686060573</v>
      </c>
      <c r="H108" s="134">
        <f t="shared" si="41"/>
        <v>-8888.7239781341632</v>
      </c>
      <c r="I108" s="134">
        <f t="shared" si="41"/>
        <v>-9227.7794817173781</v>
      </c>
    </row>
    <row r="109" spans="1:9" x14ac:dyDescent="0.3">
      <c r="A109" s="122"/>
      <c r="B109" s="137"/>
      <c r="C109" s="137"/>
      <c r="D109" s="137"/>
      <c r="E109" s="121"/>
      <c r="F109" s="121"/>
      <c r="G109" s="121"/>
      <c r="H109" s="121"/>
      <c r="I109" s="121"/>
    </row>
    <row r="110" spans="1:9" x14ac:dyDescent="0.3">
      <c r="A110" s="132" t="s">
        <v>124</v>
      </c>
      <c r="B110" s="133">
        <f>SUM(B92,B102,B108)</f>
        <v>1482</v>
      </c>
      <c r="C110" s="133">
        <f>SUM(C92,C102,C108)</f>
        <v>-609</v>
      </c>
      <c r="D110" s="133">
        <f>SUM(D92,D102,D108)</f>
        <v>-1058</v>
      </c>
      <c r="E110" s="134">
        <f>SUM(E92,E102,E108)</f>
        <v>120.9928081891203</v>
      </c>
      <c r="F110" s="134">
        <f t="shared" ref="F110:I110" si="42">SUM(F92,F102,F108)</f>
        <v>206.61138445637607</v>
      </c>
      <c r="G110" s="134">
        <f t="shared" si="42"/>
        <v>276.61909060616381</v>
      </c>
      <c r="H110" s="134">
        <f t="shared" si="42"/>
        <v>344.50551704076133</v>
      </c>
      <c r="I110" s="134">
        <f t="shared" si="42"/>
        <v>403.47712157807291</v>
      </c>
    </row>
    <row r="111" spans="1:9" x14ac:dyDescent="0.3">
      <c r="A111" s="122" t="s">
        <v>149</v>
      </c>
      <c r="B111" s="131">
        <f>'Historical Data'!B97</f>
        <v>5561</v>
      </c>
      <c r="C111" s="131">
        <f>'Historical Data'!C97</f>
        <v>7007</v>
      </c>
      <c r="D111" s="131">
        <f>'Historical Data'!D97</f>
        <v>6382</v>
      </c>
      <c r="E111" s="121">
        <f>D45</f>
        <v>5276</v>
      </c>
      <c r="F111" s="121">
        <f t="shared" ref="F111:I111" si="43">E45</f>
        <v>5396.9928081891203</v>
      </c>
      <c r="G111" s="121">
        <f t="shared" si="43"/>
        <v>5603.6041926454964</v>
      </c>
      <c r="H111" s="121">
        <f t="shared" si="43"/>
        <v>5880.2232832516602</v>
      </c>
      <c r="I111" s="121">
        <f t="shared" si="43"/>
        <v>6224.7288002924215</v>
      </c>
    </row>
    <row r="112" spans="1:9" x14ac:dyDescent="0.3">
      <c r="A112" s="122" t="s">
        <v>150</v>
      </c>
      <c r="B112" s="131">
        <f>'Historical Data'!B98</f>
        <v>-38</v>
      </c>
      <c r="C112" s="131">
        <f>'Historical Data'!C98</f>
        <v>-18</v>
      </c>
      <c r="D112" s="131">
        <f>'Historical Data'!D98</f>
        <v>-48</v>
      </c>
      <c r="E112" s="121">
        <v>0</v>
      </c>
      <c r="F112" s="121">
        <v>0</v>
      </c>
      <c r="G112" s="121">
        <v>0</v>
      </c>
      <c r="H112" s="121">
        <v>0</v>
      </c>
      <c r="I112" s="121">
        <v>0</v>
      </c>
    </row>
    <row r="113" spans="1:9" x14ac:dyDescent="0.3">
      <c r="A113" s="132" t="s">
        <v>151</v>
      </c>
      <c r="B113" s="133">
        <f>SUM(B110:B112)</f>
        <v>7005</v>
      </c>
      <c r="C113" s="133">
        <f>SUM(C110:C112)</f>
        <v>6380</v>
      </c>
      <c r="D113" s="133">
        <f>SUM(D110:D112)</f>
        <v>5276</v>
      </c>
      <c r="E113" s="134">
        <f>SUM(E110:E112)</f>
        <v>5396.9928081891203</v>
      </c>
      <c r="F113" s="134">
        <f t="shared" ref="F113:I113" si="44">SUM(F110:F112)</f>
        <v>5603.6041926454964</v>
      </c>
      <c r="G113" s="134">
        <f t="shared" si="44"/>
        <v>5880.2232832516602</v>
      </c>
      <c r="H113" s="134">
        <f t="shared" si="44"/>
        <v>6224.7288002924215</v>
      </c>
      <c r="I113" s="134">
        <f t="shared" si="44"/>
        <v>6628.2059218704944</v>
      </c>
    </row>
    <row r="114" spans="1:9" x14ac:dyDescent="0.3">
      <c r="A114" s="141" t="s">
        <v>152</v>
      </c>
      <c r="B114" s="142">
        <f>B113-B45</f>
        <v>-2</v>
      </c>
      <c r="C114" s="142">
        <f>C113-C45</f>
        <v>-2</v>
      </c>
      <c r="D114" s="142">
        <f>D113-D45</f>
        <v>0</v>
      </c>
      <c r="E114" s="142">
        <f t="shared" ref="E114:I114" si="45">E113-E45</f>
        <v>0</v>
      </c>
      <c r="F114" s="142">
        <f t="shared" si="45"/>
        <v>0</v>
      </c>
      <c r="G114" s="142">
        <f t="shared" si="45"/>
        <v>0</v>
      </c>
      <c r="H114" s="142">
        <f t="shared" si="45"/>
        <v>0</v>
      </c>
      <c r="I114" s="142">
        <f t="shared" si="45"/>
        <v>0</v>
      </c>
    </row>
    <row r="115" spans="1:9" x14ac:dyDescent="0.3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x14ac:dyDescent="0.3">
      <c r="A116" s="86" t="s">
        <v>153</v>
      </c>
      <c r="B116" s="143"/>
      <c r="C116" s="143"/>
      <c r="D116" s="143"/>
      <c r="E116" s="143"/>
      <c r="F116" s="143"/>
      <c r="G116" s="143"/>
      <c r="H116" s="143"/>
      <c r="I116" s="143"/>
    </row>
  </sheetData>
  <mergeCells count="6">
    <mergeCell ref="A116:I116"/>
    <mergeCell ref="A1:I1"/>
    <mergeCell ref="A2:I2"/>
    <mergeCell ref="A5:I5"/>
    <mergeCell ref="A26:I26"/>
    <mergeCell ref="A75:I7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3"/>
  <sheetViews>
    <sheetView workbookViewId="0"/>
  </sheetViews>
  <sheetFormatPr defaultRowHeight="14.4" x14ac:dyDescent="0.3"/>
  <cols>
    <col min="1" max="1" width="49.44140625" customWidth="1"/>
  </cols>
  <sheetData>
    <row r="1" spans="1:6" ht="17.399999999999999" customHeight="1" x14ac:dyDescent="0.3">
      <c r="A1" s="118" t="s">
        <v>50</v>
      </c>
      <c r="B1" s="119" t="s">
        <v>1</v>
      </c>
      <c r="C1" s="119" t="s">
        <v>2</v>
      </c>
      <c r="D1" s="119" t="s">
        <v>3</v>
      </c>
      <c r="E1" s="119" t="s">
        <v>4</v>
      </c>
      <c r="F1" s="119" t="s">
        <v>5</v>
      </c>
    </row>
    <row r="2" spans="1:6" x14ac:dyDescent="0.3">
      <c r="A2" s="120" t="s">
        <v>154</v>
      </c>
      <c r="B2" s="121"/>
      <c r="C2" s="121"/>
      <c r="D2" s="121"/>
      <c r="E2" s="121"/>
      <c r="F2" s="121"/>
    </row>
    <row r="3" spans="1:6" x14ac:dyDescent="0.3">
      <c r="A3" s="122" t="s">
        <v>155</v>
      </c>
      <c r="B3" s="121">
        <f>'3-Statement'!D31</f>
        <v>11135</v>
      </c>
      <c r="C3" s="121">
        <f>'3-Statement'!E31</f>
        <v>12169.28463902152</v>
      </c>
      <c r="D3" s="121">
        <f>'3-Statement'!F31</f>
        <v>13229.007892482181</v>
      </c>
      <c r="E3" s="121">
        <f>'3-Statement'!G31</f>
        <v>14307.97466505173</v>
      </c>
      <c r="F3" s="121">
        <f>'3-Statement'!H31</f>
        <v>15399.138138455211</v>
      </c>
    </row>
    <row r="4" spans="1:6" x14ac:dyDescent="0.3">
      <c r="A4" s="122" t="s">
        <v>156</v>
      </c>
      <c r="B4" s="121">
        <f>'3-Statement'!E6*Assumptions!B26</f>
        <v>2147.7846390215209</v>
      </c>
      <c r="C4" s="121">
        <f>'3-Statement'!F6*Assumptions!C26</f>
        <v>2276.6517173628122</v>
      </c>
      <c r="D4" s="121">
        <f>'3-Statement'!G6*Assumptions!D26</f>
        <v>2401.8675618177667</v>
      </c>
      <c r="E4" s="121">
        <f>'3-Statement'!H6*Assumptions!E26</f>
        <v>2521.9609399086553</v>
      </c>
      <c r="F4" s="121">
        <f>'3-Statement'!I6*Assumptions!F26</f>
        <v>2635.4491822045447</v>
      </c>
    </row>
    <row r="5" spans="1:6" x14ac:dyDescent="0.3">
      <c r="A5" s="122" t="s">
        <v>157</v>
      </c>
      <c r="B5" s="121">
        <f>-B3*Assumptions!B27</f>
        <v>-1113.5</v>
      </c>
      <c r="C5" s="121">
        <f>-C3*Assumptions!C27</f>
        <v>-1216.9284639021521</v>
      </c>
      <c r="D5" s="121">
        <f>-D3*Assumptions!D27</f>
        <v>-1322.9007892482182</v>
      </c>
      <c r="E5" s="121">
        <f>-E3*Assumptions!E27</f>
        <v>-1430.7974665051731</v>
      </c>
      <c r="F5" s="121">
        <f>-F3*Assumptions!F27</f>
        <v>-1539.9138138455212</v>
      </c>
    </row>
    <row r="6" spans="1:6" x14ac:dyDescent="0.3">
      <c r="A6" s="122" t="s">
        <v>158</v>
      </c>
      <c r="B6" s="121">
        <f>SUM(B3:B5)</f>
        <v>12169.28463902152</v>
      </c>
      <c r="C6" s="121">
        <f>SUM(C3:C5)</f>
        <v>13229.007892482181</v>
      </c>
      <c r="D6" s="121">
        <f>SUM(D3:D5)</f>
        <v>14307.97466505173</v>
      </c>
      <c r="E6" s="121">
        <f>SUM(E3:E5)</f>
        <v>15399.138138455211</v>
      </c>
      <c r="F6" s="121">
        <f>SUM(F3:F5)</f>
        <v>16494.673506814237</v>
      </c>
    </row>
    <row r="7" spans="1:6" x14ac:dyDescent="0.3">
      <c r="A7" s="17"/>
      <c r="B7" s="17"/>
      <c r="C7" s="17"/>
      <c r="D7" s="17"/>
      <c r="E7" s="17"/>
      <c r="F7" s="17"/>
    </row>
    <row r="8" spans="1:6" x14ac:dyDescent="0.3">
      <c r="A8" s="120" t="s">
        <v>159</v>
      </c>
      <c r="B8" s="121"/>
      <c r="C8" s="121"/>
      <c r="D8" s="121"/>
      <c r="E8" s="121"/>
      <c r="F8" s="121"/>
    </row>
    <row r="9" spans="1:6" x14ac:dyDescent="0.3">
      <c r="A9" s="17" t="s">
        <v>160</v>
      </c>
      <c r="B9" s="121">
        <f>'3-Statement'!D29</f>
        <v>1643</v>
      </c>
      <c r="C9" s="121">
        <f>'3-Statement'!E29</f>
        <v>1541.1299999999999</v>
      </c>
      <c r="D9" s="121">
        <f>'3-Statement'!F29</f>
        <v>1513.3278000000003</v>
      </c>
      <c r="E9" s="121">
        <f>'3-Statement'!G29</f>
        <v>1529.022219</v>
      </c>
      <c r="F9" s="121">
        <f>'3-Statement'!H29</f>
        <v>1569.4901473499999</v>
      </c>
    </row>
    <row r="10" spans="1:6" x14ac:dyDescent="0.3">
      <c r="A10" s="17" t="s">
        <v>110</v>
      </c>
      <c r="B10" s="121">
        <f>-'3-Statement'!E94</f>
        <v>555.33000000000004</v>
      </c>
      <c r="C10" s="121">
        <f>-'3-Statement'!F94</f>
        <v>588.64980000000014</v>
      </c>
      <c r="D10" s="121">
        <f>-'3-Statement'!G94</f>
        <v>621.02553900000009</v>
      </c>
      <c r="E10" s="121">
        <f>-'3-Statement'!H94</f>
        <v>652.07681595000008</v>
      </c>
      <c r="F10" s="121">
        <f>-'3-Statement'!I94</f>
        <v>681.42027266775006</v>
      </c>
    </row>
    <row r="11" spans="1:6" x14ac:dyDescent="0.3">
      <c r="A11" s="17" t="s">
        <v>161</v>
      </c>
      <c r="B11" s="121">
        <f>-B9*Assumptions!B28</f>
        <v>-657.2</v>
      </c>
      <c r="C11" s="121">
        <f>-C9*Assumptions!C28</f>
        <v>-616.452</v>
      </c>
      <c r="D11" s="121">
        <f>-D9*Assumptions!D28</f>
        <v>-605.33112000000017</v>
      </c>
      <c r="E11" s="121">
        <f>-E9*Assumptions!E28</f>
        <v>-611.6088876</v>
      </c>
      <c r="F11" s="121">
        <f>-F9*Assumptions!F28</f>
        <v>-627.79605893999997</v>
      </c>
    </row>
    <row r="12" spans="1:6" x14ac:dyDescent="0.3">
      <c r="A12" s="17" t="s">
        <v>162</v>
      </c>
      <c r="B12" s="121">
        <v>0</v>
      </c>
      <c r="C12" s="121">
        <v>0</v>
      </c>
      <c r="D12" s="121">
        <v>0</v>
      </c>
      <c r="E12" s="121">
        <v>0</v>
      </c>
      <c r="F12" s="121">
        <v>0</v>
      </c>
    </row>
    <row r="13" spans="1:6" x14ac:dyDescent="0.3">
      <c r="A13" s="17" t="s">
        <v>163</v>
      </c>
      <c r="B13" s="121">
        <f>SUM(B9:B12)</f>
        <v>1541.1299999999999</v>
      </c>
      <c r="C13" s="121">
        <f t="shared" ref="C13:F13" si="0">SUM(C9:C12)</f>
        <v>1513.3278000000003</v>
      </c>
      <c r="D13" s="121">
        <f t="shared" si="0"/>
        <v>1529.022219</v>
      </c>
      <c r="E13" s="121">
        <f t="shared" si="0"/>
        <v>1569.4901473499999</v>
      </c>
      <c r="F13" s="121">
        <f t="shared" si="0"/>
        <v>1623.1143610777499</v>
      </c>
    </row>
    <row r="14" spans="1:6" x14ac:dyDescent="0.3">
      <c r="A14" s="17"/>
      <c r="B14" s="17"/>
      <c r="C14" s="17"/>
      <c r="D14" s="17"/>
      <c r="E14" s="17"/>
      <c r="F14" s="17"/>
    </row>
    <row r="15" spans="1:6" x14ac:dyDescent="0.3">
      <c r="A15" s="8" t="s">
        <v>164</v>
      </c>
      <c r="B15" s="121"/>
      <c r="C15" s="121"/>
      <c r="D15" s="121"/>
      <c r="E15" s="121"/>
      <c r="F15" s="121"/>
    </row>
    <row r="16" spans="1:6" x14ac:dyDescent="0.3">
      <c r="A16" s="17" t="s">
        <v>165</v>
      </c>
      <c r="B16" s="121">
        <f>'3-Statement'!D28</f>
        <v>5542</v>
      </c>
      <c r="C16" s="121">
        <f>B20</f>
        <v>6225.3963999999996</v>
      </c>
      <c r="D16" s="121">
        <f t="shared" ref="D16:F16" si="1">C20</f>
        <v>6844.5336639999996</v>
      </c>
      <c r="E16" s="121">
        <f t="shared" si="1"/>
        <v>7414.7013389200001</v>
      </c>
      <c r="F16" s="121">
        <f t="shared" si="1"/>
        <v>7944.9951000700021</v>
      </c>
    </row>
    <row r="17" spans="1:6" x14ac:dyDescent="0.3">
      <c r="A17" s="17" t="s">
        <v>166</v>
      </c>
      <c r="B17" s="121">
        <f>'3-Statement'!E6*Assumptions!B33</f>
        <v>2345.9964</v>
      </c>
      <c r="C17" s="121">
        <f>'3-Statement'!F6*Assumptions!C33</f>
        <v>2486.7561840000003</v>
      </c>
      <c r="D17" s="121">
        <f>'3-Statement'!G6*Assumptions!D33</f>
        <v>2623.5277741200002</v>
      </c>
      <c r="E17" s="121">
        <f>'3-Statement'!H6*Assumptions!E33</f>
        <v>2754.7041628260004</v>
      </c>
      <c r="F17" s="121">
        <f>'3-Statement'!I6*Assumptions!F33</f>
        <v>2878.6658501531701</v>
      </c>
    </row>
    <row r="18" spans="1:6" x14ac:dyDescent="0.3">
      <c r="A18" s="17" t="s">
        <v>167</v>
      </c>
      <c r="B18" s="121">
        <f>-B16*Assumptions!B34</f>
        <v>-1662.6</v>
      </c>
      <c r="C18" s="121">
        <f>-C16*Assumptions!C34</f>
        <v>-1867.6189199999999</v>
      </c>
      <c r="D18" s="121">
        <f>-D16*Assumptions!D34</f>
        <v>-2053.3600991999997</v>
      </c>
      <c r="E18" s="121">
        <f>-E16*Assumptions!E34</f>
        <v>-2224.4104016759998</v>
      </c>
      <c r="F18" s="121">
        <f>-F16*Assumptions!F34</f>
        <v>-2383.4985300210005</v>
      </c>
    </row>
    <row r="19" spans="1:6" x14ac:dyDescent="0.3">
      <c r="A19" s="17" t="s">
        <v>162</v>
      </c>
      <c r="B19" s="121">
        <v>0</v>
      </c>
      <c r="C19" s="121">
        <v>0</v>
      </c>
      <c r="D19" s="121">
        <v>0</v>
      </c>
      <c r="E19" s="121">
        <v>0</v>
      </c>
      <c r="F19" s="121">
        <v>0</v>
      </c>
    </row>
    <row r="20" spans="1:6" x14ac:dyDescent="0.3">
      <c r="A20" s="17" t="s">
        <v>168</v>
      </c>
      <c r="B20" s="121">
        <f>SUM(B16:B19)</f>
        <v>6225.3963999999996</v>
      </c>
      <c r="C20" s="121">
        <f t="shared" ref="C20:F20" si="2">SUM(C16:C19)</f>
        <v>6844.5336639999996</v>
      </c>
      <c r="D20" s="121">
        <f t="shared" si="2"/>
        <v>7414.7013389200001</v>
      </c>
      <c r="E20" s="121">
        <f t="shared" si="2"/>
        <v>7944.9951000700021</v>
      </c>
      <c r="F20" s="121">
        <f t="shared" si="2"/>
        <v>8440.1624202021721</v>
      </c>
    </row>
    <row r="21" spans="1:6" x14ac:dyDescent="0.3">
      <c r="A21" s="17"/>
      <c r="B21" s="17"/>
      <c r="C21" s="17"/>
      <c r="D21" s="17"/>
      <c r="E21" s="17"/>
      <c r="F21" s="17"/>
    </row>
    <row r="22" spans="1:6" x14ac:dyDescent="0.3">
      <c r="A22" s="8" t="s">
        <v>169</v>
      </c>
      <c r="B22" s="121"/>
      <c r="C22" s="121"/>
      <c r="D22" s="121"/>
      <c r="E22" s="121"/>
      <c r="F22" s="121"/>
    </row>
    <row r="23" spans="1:6" x14ac:dyDescent="0.3">
      <c r="A23" s="17" t="s">
        <v>170</v>
      </c>
      <c r="B23" s="121">
        <f>SUM('3-Statement'!D59,'3-Statement'!D66)</f>
        <v>5933</v>
      </c>
      <c r="C23" s="121">
        <f>B28</f>
        <v>6546.6663999999992</v>
      </c>
      <c r="D23" s="121">
        <f t="shared" ref="D23:F23" si="3">C28</f>
        <v>7197.152783999999</v>
      </c>
      <c r="E23" s="121">
        <f t="shared" si="3"/>
        <v>7883.4159191199979</v>
      </c>
      <c r="F23" s="121">
        <f t="shared" si="3"/>
        <v>8603.9922109959989</v>
      </c>
    </row>
    <row r="24" spans="1:6" x14ac:dyDescent="0.3">
      <c r="A24" s="17" t="s">
        <v>166</v>
      </c>
      <c r="B24" s="121">
        <f>B17</f>
        <v>2345.9964</v>
      </c>
      <c r="C24" s="121">
        <f t="shared" ref="C24:F24" si="4">C17</f>
        <v>2486.7561840000003</v>
      </c>
      <c r="D24" s="121">
        <f t="shared" si="4"/>
        <v>2623.5277741200002</v>
      </c>
      <c r="E24" s="121">
        <f t="shared" si="4"/>
        <v>2754.7041628260004</v>
      </c>
      <c r="F24" s="121">
        <f t="shared" si="4"/>
        <v>2878.6658501531701</v>
      </c>
    </row>
    <row r="25" spans="1:6" x14ac:dyDescent="0.3">
      <c r="A25" s="17" t="s">
        <v>102</v>
      </c>
      <c r="B25" s="121">
        <f>'3-Statement'!E82</f>
        <v>230.05</v>
      </c>
      <c r="C25" s="121">
        <f>'3-Statement'!F82</f>
        <v>243.85300000000004</v>
      </c>
      <c r="D25" s="121">
        <f>'3-Statement'!G82</f>
        <v>257.26491500000003</v>
      </c>
      <c r="E25" s="121">
        <f>'3-Statement'!H82</f>
        <v>270.12816075000006</v>
      </c>
      <c r="F25" s="121">
        <f>'3-Statement'!I82</f>
        <v>282.28392798375006</v>
      </c>
    </row>
    <row r="26" spans="1:6" x14ac:dyDescent="0.3">
      <c r="A26" s="17" t="s">
        <v>121</v>
      </c>
      <c r="B26" s="121">
        <f>'3-Statement'!E106</f>
        <v>-1962.38</v>
      </c>
      <c r="C26" s="121">
        <f>'3-Statement'!F106</f>
        <v>-2080.1228000000001</v>
      </c>
      <c r="D26" s="121">
        <f>'3-Statement'!G106</f>
        <v>-2194.5295540000002</v>
      </c>
      <c r="E26" s="121">
        <f>'3-Statement'!H106</f>
        <v>-2304.2560317000002</v>
      </c>
      <c r="F26" s="121">
        <f>'3-Statement'!I106</f>
        <v>-2407.9475531265002</v>
      </c>
    </row>
    <row r="27" spans="1:6" x14ac:dyDescent="0.3">
      <c r="A27" s="17" t="s">
        <v>162</v>
      </c>
      <c r="B27" s="121">
        <v>0</v>
      </c>
      <c r="C27" s="121">
        <v>0</v>
      </c>
      <c r="D27" s="121">
        <v>0</v>
      </c>
      <c r="E27" s="121">
        <v>0</v>
      </c>
      <c r="F27" s="121">
        <v>0</v>
      </c>
    </row>
    <row r="28" spans="1:6" x14ac:dyDescent="0.3">
      <c r="A28" s="17" t="s">
        <v>171</v>
      </c>
      <c r="B28" s="121">
        <f>SUM(B23:B27)</f>
        <v>6546.6663999999992</v>
      </c>
      <c r="C28" s="121">
        <f t="shared" ref="C28:F28" si="5">SUM(C23:C27)</f>
        <v>7197.152783999999</v>
      </c>
      <c r="D28" s="121">
        <f t="shared" si="5"/>
        <v>7883.4159191199979</v>
      </c>
      <c r="E28" s="121">
        <f t="shared" si="5"/>
        <v>8603.9922109959989</v>
      </c>
      <c r="F28" s="121">
        <f t="shared" si="5"/>
        <v>9356.9944360064201</v>
      </c>
    </row>
    <row r="29" spans="1:6" x14ac:dyDescent="0.3">
      <c r="A29" s="17"/>
      <c r="B29" s="17"/>
      <c r="C29" s="17"/>
      <c r="D29" s="17"/>
      <c r="E29" s="17"/>
      <c r="F29" s="17"/>
    </row>
    <row r="30" spans="1:6" x14ac:dyDescent="0.3">
      <c r="A30" s="8" t="s">
        <v>172</v>
      </c>
      <c r="B30" s="121"/>
      <c r="C30" s="121"/>
      <c r="D30" s="121"/>
      <c r="E30" s="121"/>
      <c r="F30" s="121"/>
    </row>
    <row r="31" spans="1:6" x14ac:dyDescent="0.3">
      <c r="A31" s="17" t="s">
        <v>173</v>
      </c>
      <c r="B31" s="121">
        <f>B5</f>
        <v>-1113.5</v>
      </c>
      <c r="C31" s="121">
        <f t="shared" ref="C31:F31" si="6">C5</f>
        <v>-1216.9284639021521</v>
      </c>
      <c r="D31" s="121">
        <f t="shared" si="6"/>
        <v>-1322.9007892482182</v>
      </c>
      <c r="E31" s="121">
        <f t="shared" si="6"/>
        <v>-1430.7974665051731</v>
      </c>
      <c r="F31" s="121">
        <f t="shared" si="6"/>
        <v>-1539.9138138455212</v>
      </c>
    </row>
    <row r="32" spans="1:6" x14ac:dyDescent="0.3">
      <c r="A32" s="17" t="s">
        <v>174</v>
      </c>
      <c r="B32" s="121">
        <f>B11</f>
        <v>-657.2</v>
      </c>
      <c r="C32" s="121">
        <f t="shared" ref="C32:F32" si="7">C11</f>
        <v>-616.452</v>
      </c>
      <c r="D32" s="121">
        <f t="shared" si="7"/>
        <v>-605.33112000000017</v>
      </c>
      <c r="E32" s="121">
        <f t="shared" si="7"/>
        <v>-611.6088876</v>
      </c>
      <c r="F32" s="121">
        <f t="shared" si="7"/>
        <v>-627.79605893999997</v>
      </c>
    </row>
    <row r="33" spans="1:6" x14ac:dyDescent="0.3">
      <c r="A33" s="17" t="s">
        <v>175</v>
      </c>
      <c r="B33" s="121">
        <f>B18</f>
        <v>-1662.6</v>
      </c>
      <c r="C33" s="121">
        <f t="shared" ref="C33:F33" si="8">C18</f>
        <v>-1867.6189199999999</v>
      </c>
      <c r="D33" s="121">
        <f t="shared" si="8"/>
        <v>-2053.3600991999997</v>
      </c>
      <c r="E33" s="121">
        <f t="shared" si="8"/>
        <v>-2224.4104016759998</v>
      </c>
      <c r="F33" s="121">
        <f t="shared" si="8"/>
        <v>-2383.4985300210005</v>
      </c>
    </row>
    <row r="34" spans="1:6" x14ac:dyDescent="0.3">
      <c r="A34" s="17" t="s">
        <v>176</v>
      </c>
      <c r="B34" s="121">
        <f>SUM(B31:B33)</f>
        <v>-3433.3</v>
      </c>
      <c r="C34" s="121">
        <f t="shared" ref="C34:F34" si="9">SUM(C31:C33)</f>
        <v>-3700.9993839021517</v>
      </c>
      <c r="D34" s="121">
        <f t="shared" si="9"/>
        <v>-3981.5920084482182</v>
      </c>
      <c r="E34" s="121">
        <f t="shared" si="9"/>
        <v>-4266.816755781173</v>
      </c>
      <c r="F34" s="121">
        <f t="shared" si="9"/>
        <v>-4551.2084028065219</v>
      </c>
    </row>
    <row r="35" spans="1:6" x14ac:dyDescent="0.3">
      <c r="A35" s="17"/>
      <c r="B35" s="17"/>
      <c r="C35" s="17"/>
      <c r="D35" s="17"/>
      <c r="E35" s="17"/>
      <c r="F35" s="17"/>
    </row>
    <row r="36" spans="1:6" x14ac:dyDescent="0.3">
      <c r="A36" s="8" t="s">
        <v>177</v>
      </c>
      <c r="B36" s="121"/>
      <c r="C36" s="121"/>
      <c r="D36" s="121"/>
      <c r="E36" s="121"/>
      <c r="F36" s="121"/>
    </row>
    <row r="37" spans="1:6" x14ac:dyDescent="0.3">
      <c r="A37" s="17" t="s">
        <v>178</v>
      </c>
      <c r="B37" s="121">
        <v>399</v>
      </c>
      <c r="C37" s="121">
        <f>B40</f>
        <v>505.63620000000003</v>
      </c>
      <c r="D37" s="121">
        <f t="shared" ref="D37:F37" si="10">C40</f>
        <v>618.67057199999999</v>
      </c>
      <c r="E37" s="121">
        <f t="shared" si="10"/>
        <v>737.92183446000001</v>
      </c>
      <c r="F37" s="121">
        <f t="shared" si="10"/>
        <v>863.13566004300003</v>
      </c>
    </row>
    <row r="38" spans="1:6" x14ac:dyDescent="0.3">
      <c r="A38" s="17" t="s">
        <v>61</v>
      </c>
      <c r="B38" s="121">
        <f>'3-Statement'!E17</f>
        <v>106.63620000000002</v>
      </c>
      <c r="C38" s="121">
        <f>'3-Statement'!F17</f>
        <v>113.03437200000002</v>
      </c>
      <c r="D38" s="121">
        <f>'3-Statement'!G17</f>
        <v>119.25126246000002</v>
      </c>
      <c r="E38" s="121">
        <f>'3-Statement'!H17</f>
        <v>125.21382558300002</v>
      </c>
      <c r="F38" s="121">
        <f>'3-Statement'!I17</f>
        <v>130.84844773423501</v>
      </c>
    </row>
    <row r="39" spans="1:6" x14ac:dyDescent="0.3">
      <c r="A39" s="17" t="s">
        <v>162</v>
      </c>
      <c r="B39" s="121">
        <v>0</v>
      </c>
      <c r="C39" s="121">
        <v>0</v>
      </c>
      <c r="D39" s="121">
        <v>0</v>
      </c>
      <c r="E39" s="121">
        <v>0</v>
      </c>
      <c r="F39" s="121">
        <v>0</v>
      </c>
    </row>
    <row r="40" spans="1:6" x14ac:dyDescent="0.3">
      <c r="A40" s="17" t="s">
        <v>179</v>
      </c>
      <c r="B40" s="121">
        <f>SUM(B37:B39)</f>
        <v>505.63620000000003</v>
      </c>
      <c r="C40" s="121">
        <f t="shared" ref="C40:F40" si="11">SUM(C37:C39)</f>
        <v>618.67057199999999</v>
      </c>
      <c r="D40" s="121">
        <f t="shared" si="11"/>
        <v>737.92183446000001</v>
      </c>
      <c r="E40" s="121">
        <f t="shared" si="11"/>
        <v>863.13566004300003</v>
      </c>
      <c r="F40" s="121">
        <f t="shared" si="11"/>
        <v>993.98410777723507</v>
      </c>
    </row>
    <row r="41" spans="1:6" x14ac:dyDescent="0.3">
      <c r="A41" s="17"/>
      <c r="B41" s="121"/>
      <c r="C41" s="121"/>
      <c r="D41" s="121"/>
      <c r="E41" s="121"/>
      <c r="F41" s="121"/>
    </row>
    <row r="42" spans="1:6" x14ac:dyDescent="0.3">
      <c r="A42" s="17" t="s">
        <v>180</v>
      </c>
      <c r="B42" s="121">
        <v>72</v>
      </c>
      <c r="C42" s="121">
        <v>72</v>
      </c>
      <c r="D42" s="121">
        <v>72</v>
      </c>
      <c r="E42" s="121">
        <v>72</v>
      </c>
      <c r="F42" s="121">
        <v>72</v>
      </c>
    </row>
    <row r="43" spans="1:6" x14ac:dyDescent="0.3">
      <c r="A43" s="17" t="s">
        <v>181</v>
      </c>
      <c r="B43" s="121">
        <f>SUM(B40,B42)</f>
        <v>577.63620000000003</v>
      </c>
      <c r="C43" s="121">
        <f t="shared" ref="C43:F43" si="12">SUM(C40,C42)</f>
        <v>690.67057199999999</v>
      </c>
      <c r="D43" s="121">
        <f t="shared" si="12"/>
        <v>809.92183446000001</v>
      </c>
      <c r="E43" s="121">
        <f t="shared" si="12"/>
        <v>935.13566004300003</v>
      </c>
      <c r="F43" s="121">
        <f t="shared" si="12"/>
        <v>1065.9841077772351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3"/>
  <sheetViews>
    <sheetView workbookViewId="0">
      <selection sqref="A1:N1"/>
    </sheetView>
  </sheetViews>
  <sheetFormatPr defaultColWidth="11.5546875" defaultRowHeight="14.4" x14ac:dyDescent="0.3"/>
  <cols>
    <col min="1" max="1" width="32.21875" customWidth="1"/>
    <col min="2" max="6" width="13" customWidth="1"/>
    <col min="7" max="7" width="3" customWidth="1"/>
    <col min="8" max="8" width="27" customWidth="1"/>
    <col min="9" max="9" width="16" customWidth="1"/>
    <col min="10" max="10" width="48" customWidth="1"/>
    <col min="11" max="14" width="13" customWidth="1"/>
  </cols>
  <sheetData>
    <row r="1" spans="1:14" ht="18" x14ac:dyDescent="0.35">
      <c r="A1" s="88" t="s">
        <v>182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4" ht="11.55" customHeight="1" x14ac:dyDescent="0.3">
      <c r="A2" s="89" t="s">
        <v>183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</row>
    <row r="3" spans="1:14" x14ac:dyDescent="0.3">
      <c r="A3" s="90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 x14ac:dyDescent="0.3">
      <c r="A4" s="91" t="s">
        <v>184</v>
      </c>
      <c r="B4" s="91"/>
      <c r="C4" s="91"/>
      <c r="D4" s="91"/>
      <c r="E4" s="91"/>
      <c r="F4" s="91"/>
      <c r="G4" s="12"/>
      <c r="H4" s="91" t="s">
        <v>185</v>
      </c>
      <c r="I4" s="91"/>
      <c r="J4" s="91"/>
      <c r="K4" s="12"/>
      <c r="L4" s="12"/>
      <c r="M4" s="12"/>
      <c r="N4" s="12"/>
    </row>
    <row r="5" spans="1:14" x14ac:dyDescent="0.3">
      <c r="A5" s="92" t="s">
        <v>50</v>
      </c>
      <c r="B5" s="93" t="s">
        <v>1</v>
      </c>
      <c r="C5" s="93" t="s">
        <v>2</v>
      </c>
      <c r="D5" s="93" t="s">
        <v>3</v>
      </c>
      <c r="E5" s="93" t="s">
        <v>4</v>
      </c>
      <c r="F5" s="93" t="s">
        <v>5</v>
      </c>
      <c r="G5" s="19"/>
      <c r="H5" s="19" t="s">
        <v>186</v>
      </c>
      <c r="I5" s="94">
        <v>3.5619999999999999E-2</v>
      </c>
      <c r="J5" s="95" t="s">
        <v>187</v>
      </c>
      <c r="K5" s="19"/>
      <c r="L5" s="19"/>
      <c r="M5" s="19"/>
      <c r="N5" s="19"/>
    </row>
    <row r="6" spans="1:14" x14ac:dyDescent="0.3">
      <c r="A6" s="90" t="s">
        <v>188</v>
      </c>
      <c r="B6" s="28">
        <f>'3-Statement'!E6</f>
        <v>42654.48</v>
      </c>
      <c r="C6" s="28">
        <f>'3-Statement'!F6</f>
        <v>45213.748800000008</v>
      </c>
      <c r="D6" s="28">
        <f>'3-Statement'!G6</f>
        <v>47700.504984000007</v>
      </c>
      <c r="E6" s="28">
        <f>'3-Statement'!H6</f>
        <v>50085.530233200006</v>
      </c>
      <c r="F6" s="28">
        <f>'3-Statement'!I6</f>
        <v>52339.379093694006</v>
      </c>
      <c r="G6" s="19"/>
      <c r="H6" s="19" t="s">
        <v>189</v>
      </c>
      <c r="I6" s="94">
        <v>4.2299999999999997E-2</v>
      </c>
      <c r="J6" s="95" t="s">
        <v>190</v>
      </c>
      <c r="K6" s="19"/>
      <c r="L6" s="19"/>
      <c r="M6" s="19"/>
      <c r="N6" s="19"/>
    </row>
    <row r="7" spans="1:14" x14ac:dyDescent="0.3">
      <c r="A7" s="90" t="s">
        <v>131</v>
      </c>
      <c r="B7" s="28">
        <f>'3-Statement'!E14</f>
        <v>8680.5723199999993</v>
      </c>
      <c r="C7" s="28">
        <f>'3-Statement'!F14</f>
        <v>9184.9190240978496</v>
      </c>
      <c r="D7" s="28">
        <f>'3-Statement'!G14</f>
        <v>9565.3514070077836</v>
      </c>
      <c r="E7" s="28">
        <f>'3-Statement'!H14</f>
        <v>9957.4738304476268</v>
      </c>
      <c r="F7" s="28">
        <f>'3-Statement'!I14</f>
        <v>10313.175259802574</v>
      </c>
      <c r="G7" s="19"/>
      <c r="H7" s="19" t="s">
        <v>191</v>
      </c>
      <c r="I7" s="96">
        <v>0.9</v>
      </c>
      <c r="J7" s="95" t="s">
        <v>192</v>
      </c>
      <c r="K7" s="19"/>
      <c r="L7" s="19"/>
      <c r="M7" s="19"/>
      <c r="N7" s="19"/>
    </row>
    <row r="8" spans="1:14" x14ac:dyDescent="0.3">
      <c r="A8" s="90" t="s">
        <v>193</v>
      </c>
      <c r="B8" s="29">
        <f>-(B7*B10)</f>
        <v>-1944.4481996799998</v>
      </c>
      <c r="C8" s="29">
        <f>-(C7*C10)</f>
        <v>-2057.4218613979187</v>
      </c>
      <c r="D8" s="29">
        <f>-(D7*D10)</f>
        <v>-2142.6387151697436</v>
      </c>
      <c r="E8" s="29">
        <f>-(E7*E10)</f>
        <v>-2230.4741380202686</v>
      </c>
      <c r="F8" s="29">
        <f>-(F7*F10)</f>
        <v>-2310.1512581957768</v>
      </c>
      <c r="G8" s="19"/>
      <c r="H8" s="19" t="s">
        <v>194</v>
      </c>
      <c r="I8" s="34">
        <f>I5+I6*I7</f>
        <v>7.3690000000000005E-2</v>
      </c>
      <c r="J8" s="95" t="s">
        <v>195</v>
      </c>
      <c r="K8" s="19"/>
      <c r="L8" s="19"/>
      <c r="M8" s="19"/>
      <c r="N8" s="19"/>
    </row>
    <row r="9" spans="1:14" x14ac:dyDescent="0.3">
      <c r="A9" s="97" t="s">
        <v>196</v>
      </c>
      <c r="B9" s="45">
        <f>SUM(B7:B8)</f>
        <v>6736.1241203199997</v>
      </c>
      <c r="C9" s="45">
        <f>SUM(C7:C8)</f>
        <v>7127.4971626999304</v>
      </c>
      <c r="D9" s="45">
        <f>SUM(D7:D8)</f>
        <v>7422.71269183804</v>
      </c>
      <c r="E9" s="45">
        <f>SUM(E7:E8)</f>
        <v>7726.9996924273582</v>
      </c>
      <c r="F9" s="45">
        <f>SUM(F7:F8)</f>
        <v>8003.0240016067974</v>
      </c>
      <c r="G9" s="19"/>
      <c r="H9" s="19" t="s">
        <v>197</v>
      </c>
      <c r="I9" s="94">
        <v>0.05</v>
      </c>
      <c r="J9" s="95" t="s">
        <v>198</v>
      </c>
      <c r="K9" s="19"/>
      <c r="L9" s="19"/>
      <c r="M9" s="19"/>
      <c r="N9" s="19"/>
    </row>
    <row r="10" spans="1:14" x14ac:dyDescent="0.3">
      <c r="A10" s="90" t="s">
        <v>10</v>
      </c>
      <c r="B10" s="33">
        <f>'3-Statement'!E20</f>
        <v>0.224</v>
      </c>
      <c r="C10" s="33">
        <f>'3-Statement'!F20</f>
        <v>0.22400000000000003</v>
      </c>
      <c r="D10" s="33">
        <f>'3-Statement'!G20</f>
        <v>0.224</v>
      </c>
      <c r="E10" s="33">
        <f>'3-Statement'!H20</f>
        <v>0.224</v>
      </c>
      <c r="F10" s="33">
        <f>'3-Statement'!I20</f>
        <v>0.224</v>
      </c>
      <c r="G10" s="19"/>
      <c r="H10" s="19" t="s">
        <v>10</v>
      </c>
      <c r="I10" s="34">
        <f>Assumptions!B6</f>
        <v>0.224</v>
      </c>
      <c r="J10" s="95" t="s">
        <v>199</v>
      </c>
      <c r="K10" s="19"/>
      <c r="L10" s="19"/>
      <c r="M10" s="19"/>
      <c r="N10" s="19"/>
    </row>
    <row r="11" spans="1:14" x14ac:dyDescent="0.3">
      <c r="A11" s="90" t="s">
        <v>200</v>
      </c>
      <c r="B11" s="28">
        <f>'3-Statement'!E77</f>
        <v>3433.3</v>
      </c>
      <c r="C11" s="28">
        <f>'3-Statement'!F77</f>
        <v>3700.9993839021517</v>
      </c>
      <c r="D11" s="28">
        <f>'3-Statement'!G77</f>
        <v>3981.5920084482182</v>
      </c>
      <c r="E11" s="28">
        <f>'3-Statement'!H77</f>
        <v>4266.816755781173</v>
      </c>
      <c r="F11" s="28">
        <f>'3-Statement'!I77</f>
        <v>4551.2084028065219</v>
      </c>
      <c r="G11" s="19"/>
      <c r="H11" s="19" t="s">
        <v>201</v>
      </c>
      <c r="I11" s="29">
        <v>167027</v>
      </c>
      <c r="J11" s="95" t="s">
        <v>192</v>
      </c>
      <c r="K11" s="19"/>
      <c r="L11" s="19"/>
      <c r="M11" s="19"/>
      <c r="N11" s="19"/>
    </row>
    <row r="12" spans="1:14" x14ac:dyDescent="0.3">
      <c r="A12" s="90" t="s">
        <v>202</v>
      </c>
      <c r="B12" s="28">
        <f>-'3-Statement'!E95</f>
        <v>2147.7846390215209</v>
      </c>
      <c r="C12" s="28">
        <f>-'3-Statement'!F95</f>
        <v>2276.6517173628122</v>
      </c>
      <c r="D12" s="28">
        <f>-'3-Statement'!G95</f>
        <v>2401.8675618177667</v>
      </c>
      <c r="E12" s="28">
        <f>-'3-Statement'!H95</f>
        <v>2521.9609399086553</v>
      </c>
      <c r="F12" s="28">
        <f>-'3-Statement'!I95</f>
        <v>2635.4491822045447</v>
      </c>
      <c r="G12" s="19"/>
      <c r="H12" s="19" t="s">
        <v>203</v>
      </c>
      <c r="I12" s="29">
        <f>'3-Statement'!D58+'3-Statement'!D64</f>
        <v>2</v>
      </c>
      <c r="J12" s="95" t="s">
        <v>204</v>
      </c>
      <c r="K12" s="19"/>
      <c r="L12" s="19"/>
      <c r="M12" s="19"/>
      <c r="N12" s="19"/>
    </row>
    <row r="13" spans="1:14" x14ac:dyDescent="0.3">
      <c r="A13" s="90" t="s">
        <v>205</v>
      </c>
      <c r="B13" s="28">
        <f>-'3-Statement'!E94</f>
        <v>555.33000000000004</v>
      </c>
      <c r="C13" s="28">
        <f>-'3-Statement'!F94</f>
        <v>588.64980000000014</v>
      </c>
      <c r="D13" s="28">
        <f>-'3-Statement'!G94</f>
        <v>621.02553900000009</v>
      </c>
      <c r="E13" s="28">
        <f>-'3-Statement'!H94</f>
        <v>652.07681595000008</v>
      </c>
      <c r="F13" s="28">
        <f>-'3-Statement'!I94</f>
        <v>681.42027266775006</v>
      </c>
      <c r="G13" s="19"/>
      <c r="H13" s="19" t="s">
        <v>206</v>
      </c>
      <c r="I13" s="34">
        <f>I12/(I12+I11)</f>
        <v>1.1973968592280382E-5</v>
      </c>
      <c r="J13" s="95" t="s">
        <v>207</v>
      </c>
      <c r="K13" s="19"/>
      <c r="L13" s="19"/>
      <c r="M13" s="19"/>
      <c r="N13" s="19"/>
    </row>
    <row r="14" spans="1:14" x14ac:dyDescent="0.3">
      <c r="A14" s="98" t="s">
        <v>208</v>
      </c>
      <c r="B14" s="45">
        <f>SUM(B12:B13)</f>
        <v>2703.1146390215208</v>
      </c>
      <c r="C14" s="45">
        <f>SUM(C12:C13)</f>
        <v>2865.3015173628123</v>
      </c>
      <c r="D14" s="45">
        <f>SUM(D12:D13)</f>
        <v>3022.8931008177669</v>
      </c>
      <c r="E14" s="45">
        <f>SUM(E12:E13)</f>
        <v>3174.0377558586551</v>
      </c>
      <c r="F14" s="45">
        <f>SUM(F12:F13)</f>
        <v>3316.8694548722947</v>
      </c>
      <c r="G14" s="19"/>
      <c r="H14" s="19" t="s">
        <v>209</v>
      </c>
      <c r="I14" s="34">
        <f>I11/(I12+I11)</f>
        <v>0.99998802603140768</v>
      </c>
      <c r="J14" s="95" t="s">
        <v>210</v>
      </c>
      <c r="K14" s="19"/>
      <c r="L14" s="19"/>
      <c r="M14" s="19"/>
      <c r="N14" s="19"/>
    </row>
    <row r="15" spans="1:14" x14ac:dyDescent="0.3">
      <c r="A15" s="90" t="s">
        <v>211</v>
      </c>
      <c r="B15" s="29">
        <f>'3-Statement'!E90</f>
        <v>179.29062027397367</v>
      </c>
      <c r="C15" s="29">
        <f>'3-Statement'!F90</f>
        <v>235.27743721643833</v>
      </c>
      <c r="D15" s="29">
        <f>'3-Statement'!G90</f>
        <v>242.9867378146846</v>
      </c>
      <c r="E15" s="29">
        <f>'3-Statement'!H90</f>
        <v>235.07200915060412</v>
      </c>
      <c r="F15" s="29">
        <f>'3-Statement'!I90</f>
        <v>208.55820620050577</v>
      </c>
      <c r="G15" s="19"/>
      <c r="H15" s="19" t="s">
        <v>185</v>
      </c>
      <c r="I15" s="34">
        <f>I8*I14+I9*(1-I10)*I13</f>
        <v>7.3689582228235809E-2</v>
      </c>
      <c r="J15" s="95" t="s">
        <v>212</v>
      </c>
      <c r="K15" s="19"/>
      <c r="L15" s="19"/>
      <c r="M15" s="19"/>
      <c r="N15" s="19"/>
    </row>
    <row r="16" spans="1:14" x14ac:dyDescent="0.3">
      <c r="A16" s="98" t="s">
        <v>213</v>
      </c>
      <c r="B16" s="45">
        <f>B9+B11-B14+B15</f>
        <v>7645.6001015724523</v>
      </c>
      <c r="C16" s="45">
        <f>C9+C11-C14+C15</f>
        <v>8198.4724664557089</v>
      </c>
      <c r="D16" s="45">
        <f>D9+D11-D14+D15</f>
        <v>8624.3983372831754</v>
      </c>
      <c r="E16" s="45">
        <f>E9+E11-E14+E15</f>
        <v>9054.8507015004798</v>
      </c>
      <c r="F16" s="45">
        <f>F9+F11-F14+F15</f>
        <v>9445.921155741531</v>
      </c>
      <c r="G16" s="19"/>
      <c r="H16" s="93" t="s">
        <v>214</v>
      </c>
      <c r="I16" s="99">
        <f>I15</f>
        <v>7.3689582228235809E-2</v>
      </c>
      <c r="J16" s="100" t="s">
        <v>215</v>
      </c>
      <c r="K16" s="19"/>
      <c r="L16" s="19"/>
      <c r="M16" s="19"/>
      <c r="N16" s="19"/>
    </row>
    <row r="17" spans="1:14" x14ac:dyDescent="0.3">
      <c r="A17" s="90" t="s">
        <v>216</v>
      </c>
      <c r="B17" s="34">
        <f>B16/B6</f>
        <v>0.17924494921922507</v>
      </c>
      <c r="C17" s="34">
        <f>C16/C6</f>
        <v>0.18132697871882075</v>
      </c>
      <c r="D17" s="34">
        <f>D16/D6</f>
        <v>0.1808030824867792</v>
      </c>
      <c r="E17" s="34">
        <f>E16/E6</f>
        <v>0.18078775764858179</v>
      </c>
      <c r="F17" s="34">
        <f>F16/F6</f>
        <v>0.18047445956193245</v>
      </c>
      <c r="G17" s="19"/>
      <c r="H17" s="93" t="s">
        <v>217</v>
      </c>
      <c r="I17" s="93"/>
      <c r="J17" s="100"/>
      <c r="K17" s="19"/>
      <c r="L17" s="19"/>
      <c r="M17" s="19"/>
      <c r="N17" s="19"/>
    </row>
    <row r="18" spans="1:14" x14ac:dyDescent="0.3">
      <c r="A18" s="90"/>
      <c r="B18" s="19"/>
      <c r="C18" s="19"/>
      <c r="D18" s="19"/>
      <c r="E18" s="19"/>
      <c r="F18" s="19"/>
      <c r="G18" s="19"/>
      <c r="H18" s="19" t="s">
        <v>218</v>
      </c>
      <c r="I18" s="101">
        <v>2.5000000000000001E-2</v>
      </c>
      <c r="J18" s="95" t="s">
        <v>219</v>
      </c>
      <c r="K18" s="19"/>
      <c r="L18" s="19"/>
      <c r="M18" s="19"/>
      <c r="N18" s="19"/>
    </row>
    <row r="19" spans="1:14" x14ac:dyDescent="0.3">
      <c r="A19" s="92" t="s">
        <v>220</v>
      </c>
      <c r="B19" s="93"/>
      <c r="C19" s="93"/>
      <c r="D19" s="93"/>
      <c r="E19" s="93"/>
      <c r="F19" s="93"/>
      <c r="G19" s="19"/>
      <c r="H19" s="19" t="s">
        <v>221</v>
      </c>
      <c r="I19" s="102" t="s">
        <v>222</v>
      </c>
      <c r="J19" s="95" t="s">
        <v>223</v>
      </c>
      <c r="K19" s="19"/>
      <c r="L19" s="19"/>
      <c r="M19" s="19"/>
      <c r="N19" s="19"/>
    </row>
    <row r="20" spans="1:14" x14ac:dyDescent="0.3">
      <c r="A20" s="90" t="s">
        <v>6</v>
      </c>
      <c r="B20" s="33">
        <f>'3-Statement'!E23</f>
        <v>7.0000000000000062E-2</v>
      </c>
      <c r="C20" s="33">
        <f>'3-Statement'!F23</f>
        <v>6.0000000000000053E-2</v>
      </c>
      <c r="D20" s="33">
        <f>'3-Statement'!G23</f>
        <v>5.4999999999999938E-2</v>
      </c>
      <c r="E20" s="33">
        <f>'3-Statement'!H23</f>
        <v>5.0000000000000044E-2</v>
      </c>
      <c r="F20" s="33">
        <f>'3-Statement'!I23</f>
        <v>4.4999999999999929E-2</v>
      </c>
      <c r="G20" s="19"/>
      <c r="H20" s="19" t="s">
        <v>224</v>
      </c>
      <c r="I20" s="103">
        <v>53.95</v>
      </c>
      <c r="J20" s="95" t="s">
        <v>225</v>
      </c>
      <c r="K20" s="19"/>
      <c r="L20" s="19"/>
      <c r="M20" s="19"/>
      <c r="N20" s="19"/>
    </row>
    <row r="21" spans="1:14" x14ac:dyDescent="0.3">
      <c r="A21" s="90" t="s">
        <v>226</v>
      </c>
      <c r="B21" s="33">
        <f>'3-Statement'!E15</f>
        <v>0.20350904101984127</v>
      </c>
      <c r="C21" s="33">
        <f>'3-Statement'!F15</f>
        <v>0.20314438125285131</v>
      </c>
      <c r="D21" s="33">
        <f>'3-Statement'!G15</f>
        <v>0.20052935310048084</v>
      </c>
      <c r="E21" s="33">
        <f>'3-Statement'!H15</f>
        <v>0.19880939233517694</v>
      </c>
      <c r="F21" s="33">
        <f>'3-Statement'!I15</f>
        <v>0.19704427982114014</v>
      </c>
      <c r="G21" s="19"/>
      <c r="H21" s="19" t="s">
        <v>227</v>
      </c>
      <c r="I21" s="104">
        <v>3120</v>
      </c>
      <c r="J21" s="95" t="s">
        <v>228</v>
      </c>
      <c r="K21" s="19"/>
      <c r="L21" s="19"/>
      <c r="M21" s="19"/>
      <c r="N21" s="19"/>
    </row>
    <row r="22" spans="1:14" x14ac:dyDescent="0.3">
      <c r="A22" s="90"/>
      <c r="B22" s="19"/>
      <c r="C22" s="19"/>
      <c r="D22" s="19"/>
      <c r="E22" s="19"/>
      <c r="F22" s="19"/>
      <c r="G22" s="19"/>
      <c r="H22" s="19"/>
      <c r="I22" s="19"/>
      <c r="J22" s="90"/>
      <c r="K22" s="19"/>
      <c r="L22" s="19"/>
      <c r="M22" s="19"/>
      <c r="N22" s="19"/>
    </row>
    <row r="23" spans="1:14" x14ac:dyDescent="0.3">
      <c r="A23" s="91" t="s">
        <v>229</v>
      </c>
      <c r="B23" s="105"/>
      <c r="C23" s="105"/>
      <c r="D23" s="105"/>
      <c r="E23" s="105"/>
      <c r="F23" s="105"/>
      <c r="G23" s="19"/>
      <c r="H23" s="105" t="s">
        <v>230</v>
      </c>
      <c r="I23" s="105"/>
      <c r="J23" s="91"/>
      <c r="K23" s="19"/>
      <c r="L23" s="19"/>
      <c r="M23" s="19"/>
      <c r="N23" s="19"/>
    </row>
    <row r="24" spans="1:14" x14ac:dyDescent="0.3">
      <c r="A24" s="92" t="s">
        <v>50</v>
      </c>
      <c r="B24" s="93" t="s">
        <v>1</v>
      </c>
      <c r="C24" s="93" t="s">
        <v>2</v>
      </c>
      <c r="D24" s="93" t="s">
        <v>3</v>
      </c>
      <c r="E24" s="93" t="s">
        <v>4</v>
      </c>
      <c r="F24" s="93" t="s">
        <v>5</v>
      </c>
      <c r="G24" s="19"/>
      <c r="H24" s="93" t="s">
        <v>50</v>
      </c>
      <c r="I24" s="93" t="s">
        <v>231</v>
      </c>
      <c r="J24" s="92" t="s">
        <v>232</v>
      </c>
      <c r="K24" s="19"/>
      <c r="L24" s="19"/>
      <c r="M24" s="19"/>
      <c r="N24" s="19"/>
    </row>
    <row r="25" spans="1:14" x14ac:dyDescent="0.3">
      <c r="A25" s="90" t="s">
        <v>213</v>
      </c>
      <c r="B25" s="29">
        <f>B16</f>
        <v>7645.6001015724523</v>
      </c>
      <c r="C25" s="29">
        <f>C16</f>
        <v>8198.4724664557089</v>
      </c>
      <c r="D25" s="29">
        <f>D16</f>
        <v>8624.3983372831754</v>
      </c>
      <c r="E25" s="29">
        <f>E16</f>
        <v>9054.8507015004798</v>
      </c>
      <c r="F25" s="29">
        <f>F16</f>
        <v>9445.921155741531</v>
      </c>
      <c r="G25" s="19"/>
      <c r="H25" s="19" t="s">
        <v>233</v>
      </c>
      <c r="I25" s="29">
        <f>B31</f>
        <v>173993.77244385253</v>
      </c>
      <c r="J25" s="95" t="s">
        <v>234</v>
      </c>
      <c r="K25" s="19"/>
      <c r="L25" s="19"/>
      <c r="M25" s="19"/>
      <c r="N25" s="19"/>
    </row>
    <row r="26" spans="1:14" x14ac:dyDescent="0.3">
      <c r="A26" s="90" t="s">
        <v>235</v>
      </c>
      <c r="B26" s="29">
        <v>1</v>
      </c>
      <c r="C26" s="29">
        <v>2</v>
      </c>
      <c r="D26" s="29">
        <v>3</v>
      </c>
      <c r="E26" s="29">
        <v>4</v>
      </c>
      <c r="F26" s="29">
        <v>5</v>
      </c>
      <c r="G26" s="19"/>
      <c r="H26" s="19" t="s">
        <v>90</v>
      </c>
      <c r="I26" s="29">
        <f>'3-Statement'!D58+'3-Statement'!D64</f>
        <v>2</v>
      </c>
      <c r="J26" s="95" t="s">
        <v>40</v>
      </c>
      <c r="K26" s="19"/>
      <c r="L26" s="19"/>
      <c r="M26" s="19"/>
      <c r="N26" s="19"/>
    </row>
    <row r="27" spans="1:14" x14ac:dyDescent="0.3">
      <c r="A27" s="90" t="s">
        <v>236</v>
      </c>
      <c r="B27" s="106">
        <f>1/(1+$I$16)^B26</f>
        <v>0.93136788933417125</v>
      </c>
      <c r="C27" s="106">
        <f>1/(1+$I$16)^C26</f>
        <v>0.86744614528278907</v>
      </c>
      <c r="D27" s="106">
        <f>1/(1+$I$16)^D26</f>
        <v>0.80791148544309399</v>
      </c>
      <c r="E27" s="106">
        <f>1/(1+$I$16)^E26</f>
        <v>0.75246281496596956</v>
      </c>
      <c r="F27" s="106">
        <f>1/(1+$I$16)^F26</f>
        <v>0.70081970377730407</v>
      </c>
      <c r="G27" s="19"/>
      <c r="H27" s="19" t="s">
        <v>237</v>
      </c>
      <c r="I27" s="29">
        <f>'3-Statement'!D59+'3-Statement'!D66</f>
        <v>5933</v>
      </c>
      <c r="J27" s="95" t="s">
        <v>238</v>
      </c>
      <c r="K27" s="19"/>
      <c r="L27" s="19"/>
      <c r="M27" s="19"/>
      <c r="N27" s="19"/>
    </row>
    <row r="28" spans="1:14" x14ac:dyDescent="0.3">
      <c r="A28" s="90" t="s">
        <v>239</v>
      </c>
      <c r="B28" s="29">
        <f>B25*B27</f>
        <v>7120.8664292946605</v>
      </c>
      <c r="C28" s="29">
        <f>C25*C27</f>
        <v>7111.7333382340848</v>
      </c>
      <c r="D28" s="29">
        <f>D25*D27</f>
        <v>6967.7504717274005</v>
      </c>
      <c r="E28" s="29">
        <f>E25*E27</f>
        <v>6813.4384479476348</v>
      </c>
      <c r="F28" s="29">
        <f>F25*F27</f>
        <v>6619.8876662705497</v>
      </c>
      <c r="G28" s="19"/>
      <c r="H28" s="19" t="s">
        <v>240</v>
      </c>
      <c r="I28" s="29">
        <f>'3-Statement'!D45</f>
        <v>5276</v>
      </c>
      <c r="J28" s="95" t="s">
        <v>40</v>
      </c>
      <c r="K28" s="19"/>
      <c r="L28" s="19"/>
      <c r="M28" s="19"/>
      <c r="N28" s="19"/>
    </row>
    <row r="29" spans="1:14" x14ac:dyDescent="0.3">
      <c r="A29" s="90" t="s">
        <v>241</v>
      </c>
      <c r="B29" s="29"/>
      <c r="C29" s="29"/>
      <c r="D29" s="29"/>
      <c r="E29" s="29"/>
      <c r="F29" s="29">
        <f>F25*(1+$I$18)/($I$16-$I$18)</f>
        <v>198852.99362910315</v>
      </c>
      <c r="G29" s="19"/>
      <c r="H29" s="19" t="s">
        <v>81</v>
      </c>
      <c r="I29" s="29">
        <f>'3-Statement'!D44</f>
        <v>5684</v>
      </c>
      <c r="J29" s="95" t="s">
        <v>40</v>
      </c>
      <c r="K29" s="19"/>
      <c r="L29" s="19"/>
      <c r="M29" s="19"/>
      <c r="N29" s="19"/>
    </row>
    <row r="30" spans="1:14" x14ac:dyDescent="0.3">
      <c r="A30" s="90" t="s">
        <v>242</v>
      </c>
      <c r="B30" s="29"/>
      <c r="C30" s="29"/>
      <c r="D30" s="29"/>
      <c r="E30" s="29"/>
      <c r="F30" s="29">
        <f>F29*F27</f>
        <v>139360.09609037821</v>
      </c>
      <c r="G30" s="19"/>
      <c r="H30" s="107" t="s">
        <v>243</v>
      </c>
      <c r="I30" s="45">
        <f>I25-I26-I27+I28+I29</f>
        <v>179018.77244385253</v>
      </c>
      <c r="J30" s="95" t="s">
        <v>244</v>
      </c>
      <c r="K30" s="19"/>
      <c r="L30" s="19"/>
      <c r="M30" s="19"/>
      <c r="N30" s="19"/>
    </row>
    <row r="31" spans="1:14" x14ac:dyDescent="0.3">
      <c r="A31" s="98" t="s">
        <v>233</v>
      </c>
      <c r="B31" s="45">
        <f>SUM(B28:F28)+F30</f>
        <v>173993.77244385253</v>
      </c>
      <c r="C31" s="29"/>
      <c r="D31" s="29"/>
      <c r="E31" s="29"/>
      <c r="F31" s="29"/>
      <c r="G31" s="19"/>
      <c r="H31" s="107" t="s">
        <v>245</v>
      </c>
      <c r="I31" s="108">
        <f>I30/I21</f>
        <v>57.377811680721969</v>
      </c>
      <c r="J31" s="95" t="s">
        <v>246</v>
      </c>
      <c r="K31" s="19"/>
      <c r="L31" s="19"/>
      <c r="M31" s="19"/>
      <c r="N31" s="19"/>
    </row>
    <row r="32" spans="1:14" x14ac:dyDescent="0.3">
      <c r="A32" s="90" t="s">
        <v>247</v>
      </c>
      <c r="B32" s="27">
        <f>F30/B31</f>
        <v>0.8009487588720996</v>
      </c>
      <c r="C32" s="27"/>
      <c r="D32" s="27"/>
      <c r="E32" s="27"/>
      <c r="F32" s="27"/>
      <c r="G32" s="19"/>
      <c r="H32" s="105" t="s">
        <v>248</v>
      </c>
      <c r="I32" s="109">
        <f>I31/I20-1</f>
        <v>6.3536824480481258E-2</v>
      </c>
      <c r="J32" s="110" t="s">
        <v>249</v>
      </c>
      <c r="K32" s="105"/>
      <c r="L32" s="105"/>
      <c r="M32" s="105"/>
      <c r="N32" s="105"/>
    </row>
    <row r="33" spans="1:14" x14ac:dyDescent="0.3">
      <c r="A33" s="90"/>
      <c r="B33" s="19"/>
      <c r="C33" s="19"/>
      <c r="D33" s="19"/>
      <c r="E33" s="19"/>
      <c r="F33" s="19"/>
      <c r="G33" s="19"/>
      <c r="H33" s="93" t="s">
        <v>250</v>
      </c>
      <c r="I33" s="111">
        <v>0.02</v>
      </c>
      <c r="J33" s="112">
        <v>2.2499999999999999E-2</v>
      </c>
      <c r="K33" s="111">
        <v>2.5000000000000001E-2</v>
      </c>
      <c r="L33" s="111">
        <v>2.75E-2</v>
      </c>
      <c r="M33" s="111">
        <v>0.03</v>
      </c>
      <c r="N33" s="111">
        <v>3.2500000000000001E-2</v>
      </c>
    </row>
    <row r="34" spans="1:14" x14ac:dyDescent="0.3">
      <c r="A34" s="90"/>
      <c r="B34" s="19"/>
      <c r="C34" s="19"/>
      <c r="D34" s="19"/>
      <c r="E34" s="19"/>
      <c r="F34" s="19"/>
      <c r="G34" s="19"/>
      <c r="H34" s="113">
        <v>6.5000000000000002E-2</v>
      </c>
      <c r="I34" s="114">
        <f t="shared" ref="I34:N38" si="0">($B$25/(1+$H34)^$B$26+$C$25/(1+$H34)^$C$26+$D$25/(1+$H34)^$D$26+$E$25/(1+$H34)^$E$26+$F$25/(1+$H34)^$F$26+($F$25*(1+I$33)/($H34-I$33))/(1+$H34)^$F$26-$I$26-$I$27+$I$28+$I$29)/$I$21</f>
        <v>63.069827952018294</v>
      </c>
      <c r="J34" s="115">
        <f t="shared" si="0"/>
        <v>66.146136243089913</v>
      </c>
      <c r="K34" s="114">
        <f t="shared" si="0"/>
        <v>69.606983070545496</v>
      </c>
      <c r="L34" s="114">
        <f t="shared" si="0"/>
        <v>73.529276141661811</v>
      </c>
      <c r="M34" s="114">
        <f t="shared" si="0"/>
        <v>78.01189679436618</v>
      </c>
      <c r="N34" s="114">
        <f t="shared" si="0"/>
        <v>83.184151393640434</v>
      </c>
    </row>
    <row r="35" spans="1:14" x14ac:dyDescent="0.3">
      <c r="A35" s="90"/>
      <c r="B35" s="19"/>
      <c r="C35" s="19"/>
      <c r="D35" s="19"/>
      <c r="E35" s="19"/>
      <c r="F35" s="19"/>
      <c r="G35" s="19"/>
      <c r="H35" s="113">
        <v>6.7500000000000004E-2</v>
      </c>
      <c r="I35" s="114">
        <f t="shared" si="0"/>
        <v>59.801524005623122</v>
      </c>
      <c r="J35" s="115">
        <f t="shared" si="0"/>
        <v>62.528316391953268</v>
      </c>
      <c r="K35" s="114">
        <f t="shared" si="0"/>
        <v>65.575907882557559</v>
      </c>
      <c r="L35" s="114">
        <f t="shared" si="0"/>
        <v>69.004448309487387</v>
      </c>
      <c r="M35" s="114">
        <f t="shared" si="0"/>
        <v>72.890127460007861</v>
      </c>
      <c r="N35" s="114">
        <f t="shared" si="0"/>
        <v>77.330903632031252</v>
      </c>
    </row>
    <row r="36" spans="1:14" x14ac:dyDescent="0.3">
      <c r="A36" s="90"/>
      <c r="B36" s="19"/>
      <c r="C36" s="19"/>
      <c r="D36" s="19"/>
      <c r="E36" s="19"/>
      <c r="F36" s="19"/>
      <c r="G36" s="19"/>
      <c r="H36" s="113">
        <v>7.0000000000000007E-2</v>
      </c>
      <c r="I36" s="114">
        <f t="shared" si="0"/>
        <v>56.860328455319575</v>
      </c>
      <c r="J36" s="115">
        <f t="shared" si="0"/>
        <v>59.291586222895027</v>
      </c>
      <c r="K36" s="114">
        <f t="shared" si="0"/>
        <v>61.992983742423327</v>
      </c>
      <c r="L36" s="114">
        <f t="shared" si="0"/>
        <v>65.012192734837285</v>
      </c>
      <c r="M36" s="114">
        <f t="shared" si="0"/>
        <v>68.40880285130298</v>
      </c>
      <c r="N36" s="114">
        <f t="shared" si="0"/>
        <v>72.258294316630781</v>
      </c>
    </row>
    <row r="37" spans="1:14" x14ac:dyDescent="0.3">
      <c r="A37" s="90"/>
      <c r="B37" s="19"/>
      <c r="C37" s="19"/>
      <c r="D37" s="19"/>
      <c r="E37" s="19"/>
      <c r="F37" s="19"/>
      <c r="G37" s="19"/>
      <c r="H37" s="113">
        <v>7.2499999999999995E-2</v>
      </c>
      <c r="I37" s="114">
        <f t="shared" si="0"/>
        <v>54.199508424742589</v>
      </c>
      <c r="J37" s="115">
        <f t="shared" si="0"/>
        <v>56.378779324760686</v>
      </c>
      <c r="K37" s="114">
        <f t="shared" si="0"/>
        <v>58.787447161622808</v>
      </c>
      <c r="L37" s="114">
        <f t="shared" si="0"/>
        <v>61.463744758136265</v>
      </c>
      <c r="M37" s="114">
        <f t="shared" si="0"/>
        <v>64.454900895416017</v>
      </c>
      <c r="N37" s="114">
        <f t="shared" si="0"/>
        <v>67.81995154985573</v>
      </c>
    </row>
    <row r="38" spans="1:14" x14ac:dyDescent="0.3">
      <c r="A38" s="90"/>
      <c r="B38" s="19"/>
      <c r="C38" s="19"/>
      <c r="D38" s="19"/>
      <c r="E38" s="19"/>
      <c r="F38" s="19"/>
      <c r="G38" s="19"/>
      <c r="H38" s="113">
        <v>7.4999999999999997E-2</v>
      </c>
      <c r="I38" s="114">
        <f t="shared" si="0"/>
        <v>51.780827966999929</v>
      </c>
      <c r="J38" s="115">
        <f t="shared" si="0"/>
        <v>53.743618167256649</v>
      </c>
      <c r="K38" s="114">
        <f t="shared" si="0"/>
        <v>55.902687387539054</v>
      </c>
      <c r="L38" s="114">
        <f t="shared" si="0"/>
        <v>58.289027052061691</v>
      </c>
      <c r="M38" s="114">
        <f t="shared" si="0"/>
        <v>60.940515568197974</v>
      </c>
      <c r="N38" s="114">
        <f t="shared" si="0"/>
        <v>63.903943909762035</v>
      </c>
    </row>
    <row r="39" spans="1:14" x14ac:dyDescent="0.3">
      <c r="A39" s="90"/>
      <c r="B39" s="12"/>
      <c r="C39" s="12"/>
      <c r="D39" s="12"/>
      <c r="E39" s="12"/>
      <c r="F39" s="12"/>
      <c r="G39" s="12"/>
      <c r="H39" s="12"/>
      <c r="I39" s="12"/>
      <c r="J39" s="90"/>
      <c r="K39" s="12"/>
      <c r="L39" s="12"/>
      <c r="M39" s="12"/>
      <c r="N39" s="12"/>
    </row>
    <row r="40" spans="1:14" x14ac:dyDescent="0.3">
      <c r="A40" s="90"/>
      <c r="B40" s="12"/>
      <c r="C40" s="12"/>
      <c r="D40" s="12"/>
      <c r="E40" s="12"/>
      <c r="F40" s="12"/>
      <c r="G40" s="12"/>
      <c r="H40" s="12"/>
      <c r="I40" s="12"/>
      <c r="J40" s="90"/>
      <c r="K40" s="12"/>
      <c r="L40" s="12"/>
      <c r="M40" s="12"/>
      <c r="N40" s="12"/>
    </row>
    <row r="41" spans="1:14" ht="21.75" customHeight="1" x14ac:dyDescent="0.3">
      <c r="A41" s="81" t="s">
        <v>251</v>
      </c>
      <c r="B41" s="116"/>
      <c r="C41" s="116"/>
      <c r="D41" s="116"/>
      <c r="E41" s="116"/>
      <c r="F41" s="116"/>
      <c r="G41" s="116"/>
      <c r="H41" s="116"/>
      <c r="I41" s="116"/>
      <c r="J41" s="81"/>
      <c r="K41" s="116"/>
      <c r="L41" s="116"/>
      <c r="M41" s="116"/>
      <c r="N41" s="116"/>
    </row>
    <row r="42" spans="1:14" ht="21.75" customHeight="1" x14ac:dyDescent="0.3">
      <c r="A42" s="73"/>
      <c r="B42" s="117"/>
      <c r="C42" s="117"/>
      <c r="D42" s="117"/>
      <c r="E42" s="117"/>
      <c r="F42" s="117"/>
      <c r="G42" s="117"/>
      <c r="H42" s="117"/>
      <c r="I42" s="117"/>
      <c r="J42" s="73"/>
      <c r="K42" s="117"/>
      <c r="L42" s="117"/>
      <c r="M42" s="117"/>
      <c r="N42" s="117"/>
    </row>
    <row r="43" spans="1:14" ht="21.75" customHeight="1" x14ac:dyDescent="0.3">
      <c r="A43" s="81" t="s">
        <v>252</v>
      </c>
      <c r="B43" s="116"/>
      <c r="C43" s="116"/>
      <c r="D43" s="116"/>
      <c r="E43" s="116"/>
      <c r="F43" s="116"/>
      <c r="G43" s="116"/>
      <c r="H43" s="116"/>
      <c r="I43" s="116"/>
      <c r="J43" s="81"/>
      <c r="K43" s="116"/>
      <c r="L43" s="116"/>
      <c r="M43" s="116"/>
      <c r="N43" s="116"/>
    </row>
  </sheetData>
  <mergeCells count="9">
    <mergeCell ref="H32:N32"/>
    <mergeCell ref="A41:N41"/>
    <mergeCell ref="A43:N43"/>
    <mergeCell ref="A1:N1"/>
    <mergeCell ref="A2:N2"/>
    <mergeCell ref="A4:F4"/>
    <mergeCell ref="H4:J4"/>
    <mergeCell ref="A23:F23"/>
    <mergeCell ref="H23:J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0"/>
  <sheetViews>
    <sheetView workbookViewId="0">
      <selection sqref="A1:N1"/>
    </sheetView>
  </sheetViews>
  <sheetFormatPr defaultColWidth="11.5546875" defaultRowHeight="14.4" x14ac:dyDescent="0.3"/>
  <cols>
    <col min="1" max="1" width="34" customWidth="1"/>
    <col min="2" max="7" width="13" customWidth="1"/>
    <col min="8" max="8" width="32" customWidth="1"/>
    <col min="9" max="9" width="14" customWidth="1"/>
    <col min="10" max="10" width="46" customWidth="1"/>
    <col min="11" max="14" width="13" customWidth="1"/>
  </cols>
  <sheetData>
    <row r="1" spans="1:14" ht="19.2" customHeight="1" x14ac:dyDescent="0.3">
      <c r="A1" s="74" t="s">
        <v>253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ht="14.4" customHeight="1" x14ac:dyDescent="0.3">
      <c r="A2" s="75" t="s">
        <v>254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</row>
    <row r="3" spans="1:14" x14ac:dyDescent="0.3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x14ac:dyDescent="0.3">
      <c r="A4" s="76" t="s">
        <v>255</v>
      </c>
      <c r="B4" s="76"/>
      <c r="C4" s="76"/>
      <c r="D4" s="76"/>
      <c r="E4" s="76"/>
      <c r="F4" s="76"/>
      <c r="G4" s="76"/>
      <c r="H4" s="76" t="s">
        <v>256</v>
      </c>
      <c r="I4" s="76"/>
      <c r="J4" s="76"/>
      <c r="K4" s="26"/>
      <c r="L4" s="26"/>
      <c r="M4" s="26"/>
      <c r="N4" s="26"/>
    </row>
    <row r="5" spans="1:14" x14ac:dyDescent="0.3">
      <c r="A5" s="51" t="s">
        <v>0</v>
      </c>
      <c r="B5" s="52" t="s">
        <v>231</v>
      </c>
      <c r="C5" s="78" t="s">
        <v>232</v>
      </c>
      <c r="D5" s="79"/>
      <c r="E5" s="79"/>
      <c r="F5" s="79"/>
      <c r="G5" s="80"/>
      <c r="H5" s="51" t="s">
        <v>50</v>
      </c>
      <c r="I5" s="52" t="s">
        <v>231</v>
      </c>
      <c r="J5" s="56" t="s">
        <v>232</v>
      </c>
      <c r="K5" s="26"/>
      <c r="L5" s="26"/>
      <c r="M5" s="26"/>
      <c r="N5" s="26"/>
    </row>
    <row r="6" spans="1:14" x14ac:dyDescent="0.3">
      <c r="A6" s="53" t="s">
        <v>257</v>
      </c>
      <c r="B6" s="28">
        <f>'3-Statement'!D11</f>
        <v>11267</v>
      </c>
      <c r="C6" s="81" t="s">
        <v>258</v>
      </c>
      <c r="D6" s="81"/>
      <c r="E6" s="81"/>
      <c r="F6" s="81"/>
      <c r="G6" s="82"/>
      <c r="H6" s="53" t="s">
        <v>259</v>
      </c>
      <c r="I6" s="29">
        <f>B11</f>
        <v>146162</v>
      </c>
      <c r="J6" s="57" t="s">
        <v>260</v>
      </c>
      <c r="K6" s="26"/>
      <c r="L6" s="26"/>
      <c r="M6" s="26"/>
      <c r="N6" s="26"/>
    </row>
    <row r="7" spans="1:14" x14ac:dyDescent="0.3">
      <c r="A7" s="53" t="s">
        <v>261</v>
      </c>
      <c r="B7" s="31">
        <v>12</v>
      </c>
      <c r="C7" s="81" t="s">
        <v>219</v>
      </c>
      <c r="D7" s="81"/>
      <c r="E7" s="81"/>
      <c r="F7" s="81"/>
      <c r="G7" s="82"/>
      <c r="H7" s="53" t="s">
        <v>262</v>
      </c>
      <c r="I7" s="29">
        <f>B9</f>
        <v>2</v>
      </c>
      <c r="J7" s="57" t="s">
        <v>260</v>
      </c>
      <c r="K7" s="26"/>
      <c r="L7" s="26"/>
      <c r="M7" s="26"/>
      <c r="N7" s="26"/>
    </row>
    <row r="8" spans="1:14" x14ac:dyDescent="0.3">
      <c r="A8" s="53" t="s">
        <v>263</v>
      </c>
      <c r="B8" s="45">
        <f>B6*B7</f>
        <v>135204</v>
      </c>
      <c r="C8" s="81" t="s">
        <v>264</v>
      </c>
      <c r="D8" s="81"/>
      <c r="E8" s="81"/>
      <c r="F8" s="81"/>
      <c r="G8" s="82"/>
      <c r="H8" s="53" t="s">
        <v>265</v>
      </c>
      <c r="I8" s="29">
        <f>B13</f>
        <v>2923.2400000000002</v>
      </c>
      <c r="J8" s="57" t="s">
        <v>260</v>
      </c>
      <c r="K8" s="26"/>
      <c r="L8" s="26"/>
      <c r="M8" s="26"/>
      <c r="N8" s="26"/>
    </row>
    <row r="9" spans="1:14" x14ac:dyDescent="0.3">
      <c r="A9" s="53" t="s">
        <v>266</v>
      </c>
      <c r="B9" s="28">
        <f>DCF!I26</f>
        <v>2</v>
      </c>
      <c r="C9" s="81" t="s">
        <v>267</v>
      </c>
      <c r="D9" s="81"/>
      <c r="E9" s="81"/>
      <c r="F9" s="81"/>
      <c r="G9" s="82"/>
      <c r="H9" s="58" t="s">
        <v>268</v>
      </c>
      <c r="I9" s="44">
        <f>SUM(I6:I8)</f>
        <v>149087.24</v>
      </c>
      <c r="J9" s="59" t="s">
        <v>269</v>
      </c>
      <c r="K9" s="26"/>
      <c r="L9" s="26"/>
      <c r="M9" s="26"/>
      <c r="N9" s="26"/>
    </row>
    <row r="10" spans="1:14" x14ac:dyDescent="0.3">
      <c r="A10" s="53" t="s">
        <v>270</v>
      </c>
      <c r="B10" s="28">
        <f>DCF!I28+DCF!I29</f>
        <v>10960</v>
      </c>
      <c r="C10" s="81" t="s">
        <v>271</v>
      </c>
      <c r="D10" s="81"/>
      <c r="E10" s="81"/>
      <c r="F10" s="81"/>
      <c r="G10" s="82"/>
      <c r="H10" s="53"/>
      <c r="I10" s="29"/>
      <c r="J10" s="57"/>
      <c r="K10" s="26"/>
      <c r="L10" s="26"/>
      <c r="M10" s="26"/>
      <c r="N10" s="26"/>
    </row>
    <row r="11" spans="1:14" x14ac:dyDescent="0.3">
      <c r="A11" s="53" t="s">
        <v>259</v>
      </c>
      <c r="B11" s="45">
        <f>B8-B9+B10</f>
        <v>146162</v>
      </c>
      <c r="C11" s="81" t="s">
        <v>272</v>
      </c>
      <c r="D11" s="81"/>
      <c r="E11" s="81"/>
      <c r="F11" s="81"/>
      <c r="G11" s="82"/>
      <c r="H11" s="53" t="s">
        <v>273</v>
      </c>
      <c r="I11" s="29">
        <f>B6*B17</f>
        <v>45068</v>
      </c>
      <c r="J11" s="57" t="s">
        <v>274</v>
      </c>
      <c r="K11" s="26"/>
      <c r="L11" s="26"/>
      <c r="M11" s="26"/>
      <c r="N11" s="26"/>
    </row>
    <row r="12" spans="1:14" x14ac:dyDescent="0.3">
      <c r="A12" s="53" t="s">
        <v>275</v>
      </c>
      <c r="B12" s="32">
        <v>0.02</v>
      </c>
      <c r="C12" s="81" t="s">
        <v>219</v>
      </c>
      <c r="D12" s="81"/>
      <c r="E12" s="81"/>
      <c r="F12" s="81"/>
      <c r="G12" s="82"/>
      <c r="H12" s="53" t="s">
        <v>276</v>
      </c>
      <c r="I12" s="29">
        <f>B6*B18</f>
        <v>22534</v>
      </c>
      <c r="J12" s="57" t="s">
        <v>277</v>
      </c>
      <c r="K12" s="26"/>
      <c r="L12" s="26"/>
      <c r="M12" s="26"/>
      <c r="N12" s="26"/>
    </row>
    <row r="13" spans="1:14" x14ac:dyDescent="0.3">
      <c r="A13" s="53" t="s">
        <v>265</v>
      </c>
      <c r="B13" s="29">
        <f>B11*B12</f>
        <v>2923.2400000000002</v>
      </c>
      <c r="C13" s="81" t="s">
        <v>278</v>
      </c>
      <c r="D13" s="81"/>
      <c r="E13" s="81"/>
      <c r="F13" s="81"/>
      <c r="G13" s="82"/>
      <c r="H13" s="53" t="s">
        <v>279</v>
      </c>
      <c r="I13" s="29">
        <f>B15</f>
        <v>9960</v>
      </c>
      <c r="J13" s="57" t="s">
        <v>280</v>
      </c>
      <c r="K13" s="26"/>
      <c r="L13" s="26"/>
      <c r="M13" s="26"/>
      <c r="N13" s="26"/>
    </row>
    <row r="14" spans="1:14" x14ac:dyDescent="0.3">
      <c r="A14" s="53" t="s">
        <v>281</v>
      </c>
      <c r="B14" s="30">
        <v>1000</v>
      </c>
      <c r="C14" s="81" t="s">
        <v>219</v>
      </c>
      <c r="D14" s="81"/>
      <c r="E14" s="81"/>
      <c r="F14" s="81"/>
      <c r="G14" s="82"/>
      <c r="H14" s="53" t="s">
        <v>282</v>
      </c>
      <c r="I14" s="45">
        <f>I9-SUM(I11:I13)</f>
        <v>71525.239999999991</v>
      </c>
      <c r="J14" s="57" t="s">
        <v>283</v>
      </c>
      <c r="K14" s="26"/>
      <c r="L14" s="26"/>
      <c r="M14" s="26"/>
      <c r="N14" s="26"/>
    </row>
    <row r="15" spans="1:14" x14ac:dyDescent="0.3">
      <c r="A15" s="53" t="s">
        <v>284</v>
      </c>
      <c r="B15" s="29">
        <f>MAX(0,B10-B14)</f>
        <v>9960</v>
      </c>
      <c r="C15" s="81" t="s">
        <v>285</v>
      </c>
      <c r="D15" s="81"/>
      <c r="E15" s="81"/>
      <c r="F15" s="81"/>
      <c r="G15" s="82"/>
      <c r="H15" s="58" t="s">
        <v>286</v>
      </c>
      <c r="I15" s="44">
        <f>SUM(I11:I14)</f>
        <v>149087.24</v>
      </c>
      <c r="J15" s="59" t="s">
        <v>287</v>
      </c>
      <c r="K15" s="26"/>
      <c r="L15" s="26"/>
      <c r="M15" s="26"/>
      <c r="N15" s="26"/>
    </row>
    <row r="16" spans="1:14" x14ac:dyDescent="0.3">
      <c r="A16" s="53" t="s">
        <v>288</v>
      </c>
      <c r="B16" s="31">
        <v>6</v>
      </c>
      <c r="C16" s="81" t="s">
        <v>219</v>
      </c>
      <c r="D16" s="81"/>
      <c r="E16" s="81"/>
      <c r="F16" s="81"/>
      <c r="G16" s="82"/>
      <c r="H16" s="54" t="s">
        <v>289</v>
      </c>
      <c r="I16" s="60">
        <f>I15-I9</f>
        <v>0</v>
      </c>
      <c r="J16" s="61" t="s">
        <v>290</v>
      </c>
      <c r="K16" s="26"/>
      <c r="L16" s="26"/>
      <c r="M16" s="26"/>
      <c r="N16" s="26"/>
    </row>
    <row r="17" spans="1:14" ht="14.4" customHeight="1" x14ac:dyDescent="0.3">
      <c r="A17" s="53" t="s">
        <v>291</v>
      </c>
      <c r="B17" s="31">
        <v>4</v>
      </c>
      <c r="C17" s="81" t="s">
        <v>219</v>
      </c>
      <c r="D17" s="81"/>
      <c r="E17" s="81"/>
      <c r="F17" s="81"/>
      <c r="G17" s="82"/>
      <c r="H17" s="26"/>
      <c r="I17" s="26"/>
      <c r="J17" s="40"/>
      <c r="K17" s="26"/>
      <c r="L17" s="26"/>
      <c r="M17" s="26"/>
      <c r="N17" s="26"/>
    </row>
    <row r="18" spans="1:14" ht="14.4" customHeight="1" x14ac:dyDescent="0.3">
      <c r="A18" s="53" t="s">
        <v>292</v>
      </c>
      <c r="B18" s="31">
        <v>2</v>
      </c>
      <c r="C18" s="81" t="s">
        <v>219</v>
      </c>
      <c r="D18" s="81"/>
      <c r="E18" s="81"/>
      <c r="F18" s="81"/>
      <c r="G18" s="82"/>
      <c r="H18" s="76" t="s">
        <v>293</v>
      </c>
      <c r="I18" s="76"/>
      <c r="J18" s="77"/>
      <c r="K18" s="26"/>
      <c r="L18" s="26"/>
      <c r="M18" s="26"/>
      <c r="N18" s="26"/>
    </row>
    <row r="19" spans="1:14" ht="14.4" customHeight="1" x14ac:dyDescent="0.3">
      <c r="A19" s="53" t="s">
        <v>294</v>
      </c>
      <c r="B19" s="32">
        <v>0.05</v>
      </c>
      <c r="C19" s="81" t="s">
        <v>219</v>
      </c>
      <c r="D19" s="81"/>
      <c r="E19" s="81"/>
      <c r="F19" s="81"/>
      <c r="G19" s="82"/>
      <c r="H19" s="51" t="s">
        <v>295</v>
      </c>
      <c r="I19" s="52" t="s">
        <v>231</v>
      </c>
      <c r="J19" s="56" t="s">
        <v>232</v>
      </c>
      <c r="K19" s="26"/>
      <c r="L19" s="26"/>
      <c r="M19" s="26"/>
      <c r="N19" s="26"/>
    </row>
    <row r="20" spans="1:14" ht="14.4" customHeight="1" x14ac:dyDescent="0.3">
      <c r="A20" s="53" t="s">
        <v>296</v>
      </c>
      <c r="B20" s="32">
        <v>7.4999999999999997E-2</v>
      </c>
      <c r="C20" s="81" t="s">
        <v>219</v>
      </c>
      <c r="D20" s="81"/>
      <c r="E20" s="81"/>
      <c r="F20" s="81"/>
      <c r="G20" s="82"/>
      <c r="H20" s="53" t="s">
        <v>297</v>
      </c>
      <c r="I20" s="29">
        <f>G36</f>
        <v>14864.383662609096</v>
      </c>
      <c r="J20" s="57" t="s">
        <v>298</v>
      </c>
      <c r="K20" s="26"/>
      <c r="L20" s="26"/>
      <c r="M20" s="26"/>
      <c r="N20" s="26"/>
    </row>
    <row r="21" spans="1:14" ht="14.4" customHeight="1" x14ac:dyDescent="0.3">
      <c r="A21" s="53" t="s">
        <v>299</v>
      </c>
      <c r="B21" s="32">
        <v>0.05</v>
      </c>
      <c r="C21" s="81" t="s">
        <v>219</v>
      </c>
      <c r="D21" s="81"/>
      <c r="E21" s="81"/>
      <c r="F21" s="81"/>
      <c r="G21" s="82"/>
      <c r="H21" s="53" t="s">
        <v>300</v>
      </c>
      <c r="I21" s="46">
        <f>B23</f>
        <v>12</v>
      </c>
      <c r="J21" s="57" t="s">
        <v>260</v>
      </c>
      <c r="K21" s="26"/>
      <c r="L21" s="26"/>
      <c r="M21" s="26"/>
      <c r="N21" s="26"/>
    </row>
    <row r="22" spans="1:14" ht="14.4" customHeight="1" x14ac:dyDescent="0.3">
      <c r="A22" s="53" t="s">
        <v>301</v>
      </c>
      <c r="B22" s="32">
        <v>1</v>
      </c>
      <c r="C22" s="81" t="s">
        <v>219</v>
      </c>
      <c r="D22" s="81"/>
      <c r="E22" s="81"/>
      <c r="F22" s="81"/>
      <c r="G22" s="82"/>
      <c r="H22" s="53" t="s">
        <v>302</v>
      </c>
      <c r="I22" s="45">
        <f>I20*I21</f>
        <v>178372.60395130917</v>
      </c>
      <c r="J22" s="57" t="s">
        <v>303</v>
      </c>
      <c r="K22" s="26"/>
      <c r="L22" s="26"/>
      <c r="M22" s="26"/>
      <c r="N22" s="26"/>
    </row>
    <row r="23" spans="1:14" ht="14.4" customHeight="1" x14ac:dyDescent="0.3">
      <c r="A23" s="53" t="s">
        <v>300</v>
      </c>
      <c r="B23" s="31">
        <v>12</v>
      </c>
      <c r="C23" s="81" t="s">
        <v>219</v>
      </c>
      <c r="D23" s="81"/>
      <c r="E23" s="81"/>
      <c r="F23" s="81"/>
      <c r="G23" s="82"/>
      <c r="H23" s="53" t="s">
        <v>304</v>
      </c>
      <c r="I23" s="29">
        <f>G77</f>
        <v>50743.672689925428</v>
      </c>
      <c r="J23" s="57" t="s">
        <v>305</v>
      </c>
      <c r="K23" s="26"/>
      <c r="L23" s="26"/>
      <c r="M23" s="26"/>
      <c r="N23" s="26"/>
    </row>
    <row r="24" spans="1:14" x14ac:dyDescent="0.3">
      <c r="A24" s="53" t="s">
        <v>10</v>
      </c>
      <c r="B24" s="33">
        <f>Assumptions!B6</f>
        <v>0.224</v>
      </c>
      <c r="C24" s="81" t="s">
        <v>306</v>
      </c>
      <c r="D24" s="81"/>
      <c r="E24" s="81"/>
      <c r="F24" s="81"/>
      <c r="G24" s="82"/>
      <c r="H24" s="53" t="s">
        <v>307</v>
      </c>
      <c r="I24" s="29">
        <f>G61</f>
        <v>1000</v>
      </c>
      <c r="J24" s="57" t="s">
        <v>308</v>
      </c>
      <c r="K24" s="26"/>
      <c r="L24" s="26"/>
      <c r="M24" s="26"/>
      <c r="N24" s="26"/>
    </row>
    <row r="25" spans="1:14" x14ac:dyDescent="0.3">
      <c r="A25" s="54" t="s">
        <v>309</v>
      </c>
      <c r="B25" s="55">
        <v>5</v>
      </c>
      <c r="C25" s="84" t="s">
        <v>357</v>
      </c>
      <c r="D25" s="84"/>
      <c r="E25" s="84"/>
      <c r="F25" s="84"/>
      <c r="G25" s="85"/>
      <c r="H25" s="58" t="s">
        <v>310</v>
      </c>
      <c r="I25" s="44">
        <f>I22-I23+I24</f>
        <v>128628.93126138374</v>
      </c>
      <c r="J25" s="59" t="s">
        <v>311</v>
      </c>
      <c r="K25" s="26"/>
      <c r="L25" s="26"/>
      <c r="M25" s="26"/>
      <c r="N25" s="26"/>
    </row>
    <row r="26" spans="1:14" x14ac:dyDescent="0.3">
      <c r="A26" s="26"/>
      <c r="B26" s="26"/>
      <c r="C26" s="26"/>
      <c r="D26" s="26"/>
      <c r="E26" s="26"/>
      <c r="F26" s="26"/>
      <c r="G26" s="26"/>
      <c r="H26" s="53" t="s">
        <v>312</v>
      </c>
      <c r="I26" s="29">
        <f>I14</f>
        <v>71525.239999999991</v>
      </c>
      <c r="J26" s="57" t="s">
        <v>313</v>
      </c>
      <c r="K26" s="26"/>
      <c r="L26" s="26"/>
      <c r="M26" s="26"/>
      <c r="N26" s="26"/>
    </row>
    <row r="27" spans="1:14" x14ac:dyDescent="0.3">
      <c r="A27" s="26"/>
      <c r="B27" s="26"/>
      <c r="C27" s="26"/>
      <c r="D27" s="26"/>
      <c r="E27" s="26"/>
      <c r="F27" s="26"/>
      <c r="G27" s="26"/>
      <c r="H27" s="53" t="s">
        <v>314</v>
      </c>
      <c r="I27" s="49">
        <f>I25/I26</f>
        <v>1.7983711940202334</v>
      </c>
      <c r="J27" s="57" t="s">
        <v>315</v>
      </c>
      <c r="K27" s="26"/>
      <c r="L27" s="26"/>
      <c r="M27" s="26"/>
      <c r="N27" s="26"/>
    </row>
    <row r="28" spans="1:14" x14ac:dyDescent="0.3">
      <c r="A28" s="26"/>
      <c r="B28" s="26"/>
      <c r="C28" s="26"/>
      <c r="D28" s="26"/>
      <c r="E28" s="26"/>
      <c r="F28" s="26"/>
      <c r="G28" s="26"/>
      <c r="H28" s="58" t="s">
        <v>316</v>
      </c>
      <c r="I28" s="47">
        <f>I27^(1/B25)-1</f>
        <v>0.12454248462458328</v>
      </c>
      <c r="J28" s="59" t="s">
        <v>317</v>
      </c>
      <c r="K28" s="26"/>
      <c r="L28" s="26"/>
      <c r="M28" s="26"/>
      <c r="N28" s="26"/>
    </row>
    <row r="29" spans="1:14" x14ac:dyDescent="0.3">
      <c r="A29" s="26"/>
      <c r="B29" s="26"/>
      <c r="C29" s="26"/>
      <c r="D29" s="26"/>
      <c r="E29" s="26"/>
      <c r="F29" s="26"/>
      <c r="G29" s="26"/>
      <c r="H29" s="53" t="s">
        <v>318</v>
      </c>
      <c r="I29" s="29">
        <f>$I$11+$I$12-I23</f>
        <v>16858.327310074572</v>
      </c>
      <c r="J29" s="57" t="s">
        <v>319</v>
      </c>
      <c r="K29" s="26"/>
      <c r="L29" s="26"/>
      <c r="M29" s="26"/>
      <c r="N29" s="26"/>
    </row>
    <row r="30" spans="1:14" x14ac:dyDescent="0.3">
      <c r="A30" s="26"/>
      <c r="B30" s="26"/>
      <c r="C30" s="26"/>
      <c r="D30" s="26"/>
      <c r="E30" s="26"/>
      <c r="F30" s="26"/>
      <c r="G30" s="26"/>
      <c r="H30" s="53" t="s">
        <v>320</v>
      </c>
      <c r="I30" s="50">
        <f>($I$11+$I$12)/$B$6</f>
        <v>6</v>
      </c>
      <c r="J30" s="57" t="s">
        <v>321</v>
      </c>
      <c r="K30" s="26"/>
      <c r="L30" s="26"/>
      <c r="M30" s="26"/>
      <c r="N30" s="26"/>
    </row>
    <row r="31" spans="1:14" x14ac:dyDescent="0.3">
      <c r="A31" s="26"/>
      <c r="B31" s="26"/>
      <c r="C31" s="26"/>
      <c r="D31" s="26"/>
      <c r="E31" s="26"/>
      <c r="F31" s="26"/>
      <c r="G31" s="26"/>
      <c r="H31" s="54" t="s">
        <v>322</v>
      </c>
      <c r="I31" s="62">
        <f>I23/I20</f>
        <v>3.4137757637115889</v>
      </c>
      <c r="J31" s="61" t="s">
        <v>323</v>
      </c>
      <c r="K31" s="26"/>
      <c r="L31" s="26"/>
      <c r="M31" s="26"/>
      <c r="N31" s="26"/>
    </row>
    <row r="32" spans="1:14" x14ac:dyDescent="0.3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pans="1:14" x14ac:dyDescent="0.3">
      <c r="A33" s="76" t="s">
        <v>324</v>
      </c>
      <c r="B33" s="76"/>
      <c r="C33" s="76"/>
      <c r="D33" s="76"/>
      <c r="E33" s="76"/>
      <c r="F33" s="76"/>
      <c r="G33" s="76"/>
      <c r="H33" s="76" t="s">
        <v>325</v>
      </c>
      <c r="I33" s="76"/>
      <c r="J33" s="76"/>
      <c r="K33" s="76"/>
      <c r="L33" s="76"/>
      <c r="M33" s="76"/>
      <c r="N33" s="26"/>
    </row>
    <row r="34" spans="1:14" x14ac:dyDescent="0.3">
      <c r="A34" s="51" t="s">
        <v>50</v>
      </c>
      <c r="B34" s="52" t="s">
        <v>40</v>
      </c>
      <c r="C34" s="52" t="s">
        <v>1</v>
      </c>
      <c r="D34" s="52" t="s">
        <v>2</v>
      </c>
      <c r="E34" s="52" t="s">
        <v>3</v>
      </c>
      <c r="F34" s="52" t="s">
        <v>4</v>
      </c>
      <c r="G34" s="63" t="s">
        <v>5</v>
      </c>
      <c r="H34" s="41" t="s">
        <v>326</v>
      </c>
      <c r="I34" s="35">
        <v>10</v>
      </c>
      <c r="J34" s="35">
        <v>11</v>
      </c>
      <c r="K34" s="35">
        <v>12</v>
      </c>
      <c r="L34" s="35">
        <v>13</v>
      </c>
      <c r="M34" s="36">
        <v>14</v>
      </c>
      <c r="N34" s="26"/>
    </row>
    <row r="35" spans="1:14" x14ac:dyDescent="0.3">
      <c r="A35" s="53" t="s">
        <v>188</v>
      </c>
      <c r="B35" s="28">
        <f>'3-Statement'!D6</f>
        <v>39864</v>
      </c>
      <c r="C35" s="28">
        <f>'3-Statement'!E6</f>
        <v>42654.48</v>
      </c>
      <c r="D35" s="28">
        <f>'3-Statement'!F6</f>
        <v>45213.748800000008</v>
      </c>
      <c r="E35" s="28">
        <f>'3-Statement'!G6</f>
        <v>47700.504984000007</v>
      </c>
      <c r="F35" s="28">
        <f>'3-Statement'!H6</f>
        <v>50085.530233200006</v>
      </c>
      <c r="G35" s="64">
        <f>'3-Statement'!I6</f>
        <v>52339.379093694006</v>
      </c>
      <c r="H35" s="42">
        <v>10</v>
      </c>
      <c r="I35" s="34">
        <f t="shared" ref="I35:M39" si="0">((($G$36*I$34)-$I$23+$I$24)/((($B$6*$H35)-$B$9+$B$10)+$B$9+(($B$6*$H35)-$B$9+$B$10)*$B$12-$I$11-$I$12-$B$15))^(1/$B$25)-1</f>
        <v>0.15297116444840042</v>
      </c>
      <c r="J35" s="34">
        <f t="shared" si="0"/>
        <v>0.18571532316423789</v>
      </c>
      <c r="K35" s="34">
        <f t="shared" si="0"/>
        <v>0.21519724364367443</v>
      </c>
      <c r="L35" s="34">
        <f t="shared" si="0"/>
        <v>0.24206801218089025</v>
      </c>
      <c r="M35" s="37">
        <f t="shared" si="0"/>
        <v>0.26679657301090942</v>
      </c>
      <c r="N35" s="26"/>
    </row>
    <row r="36" spans="1:14" x14ac:dyDescent="0.3">
      <c r="A36" s="58" t="s">
        <v>129</v>
      </c>
      <c r="B36" s="44">
        <f>'3-Statement'!D11</f>
        <v>11267</v>
      </c>
      <c r="C36" s="44">
        <f>'3-Statement'!E11</f>
        <v>12113.87232</v>
      </c>
      <c r="D36" s="44">
        <f>'3-Statement'!F11</f>
        <v>12885.918408000001</v>
      </c>
      <c r="E36" s="44">
        <f>'3-Statement'!G11</f>
        <v>13546.943415456002</v>
      </c>
      <c r="F36" s="44">
        <f>'3-Statement'!H11</f>
        <v>14224.290586228801</v>
      </c>
      <c r="G36" s="65">
        <f>'3-Statement'!I11</f>
        <v>14864.383662609096</v>
      </c>
      <c r="H36" s="42">
        <v>11</v>
      </c>
      <c r="I36" s="34">
        <f t="shared" si="0"/>
        <v>0.1049981162193232</v>
      </c>
      <c r="J36" s="34">
        <f t="shared" si="0"/>
        <v>0.13637984961722394</v>
      </c>
      <c r="K36" s="34">
        <f t="shared" si="0"/>
        <v>0.16463508062110677</v>
      </c>
      <c r="L36" s="34">
        <f t="shared" si="0"/>
        <v>0.19038780500011954</v>
      </c>
      <c r="M36" s="37">
        <f t="shared" si="0"/>
        <v>0.21408745506644067</v>
      </c>
      <c r="N36" s="26"/>
    </row>
    <row r="37" spans="1:14" x14ac:dyDescent="0.3">
      <c r="A37" s="53" t="s">
        <v>327</v>
      </c>
      <c r="B37" s="34">
        <f t="shared" ref="B37:G37" si="1">B36/B35</f>
        <v>0.28263596227172388</v>
      </c>
      <c r="C37" s="34">
        <f t="shared" si="1"/>
        <v>0.28399999999999997</v>
      </c>
      <c r="D37" s="34">
        <f t="shared" si="1"/>
        <v>0.28499999999999998</v>
      </c>
      <c r="E37" s="34">
        <f t="shared" si="1"/>
        <v>0.28400000000000003</v>
      </c>
      <c r="F37" s="34">
        <f t="shared" si="1"/>
        <v>0.28399999999999997</v>
      </c>
      <c r="G37" s="66">
        <f t="shared" si="1"/>
        <v>0.28399999999999997</v>
      </c>
      <c r="H37" s="42">
        <v>12</v>
      </c>
      <c r="I37" s="34">
        <f t="shared" si="0"/>
        <v>6.695852442987249E-2</v>
      </c>
      <c r="J37" s="34">
        <f t="shared" si="0"/>
        <v>9.7259940757020491E-2</v>
      </c>
      <c r="K37" s="34">
        <f t="shared" si="0"/>
        <v>0.12454248462458328</v>
      </c>
      <c r="L37" s="34">
        <f t="shared" si="0"/>
        <v>0.14940867072948971</v>
      </c>
      <c r="M37" s="37">
        <f t="shared" si="0"/>
        <v>0.17229245966370299</v>
      </c>
      <c r="N37" s="26"/>
    </row>
    <row r="38" spans="1:14" x14ac:dyDescent="0.3">
      <c r="A38" s="53" t="s">
        <v>200</v>
      </c>
      <c r="B38" s="28">
        <f>'3-Statement'!D13</f>
        <v>-3270</v>
      </c>
      <c r="C38" s="28">
        <f>'3-Statement'!E13</f>
        <v>-3433.3</v>
      </c>
      <c r="D38" s="28">
        <f>'3-Statement'!F13</f>
        <v>-3700.9993839021517</v>
      </c>
      <c r="E38" s="28">
        <f>'3-Statement'!G13</f>
        <v>-3981.5920084482182</v>
      </c>
      <c r="F38" s="28">
        <f>'3-Statement'!H13</f>
        <v>-4266.816755781173</v>
      </c>
      <c r="G38" s="64">
        <f>'3-Statement'!I13</f>
        <v>-4551.2084028065219</v>
      </c>
      <c r="H38" s="42">
        <v>13</v>
      </c>
      <c r="I38" s="34">
        <f t="shared" si="0"/>
        <v>3.5631826371925523E-2</v>
      </c>
      <c r="J38" s="34">
        <f t="shared" si="0"/>
        <v>6.5043570515690208E-2</v>
      </c>
      <c r="K38" s="34">
        <f t="shared" si="0"/>
        <v>9.152507854688019E-2</v>
      </c>
      <c r="L38" s="34">
        <f t="shared" si="0"/>
        <v>0.11566117488154237</v>
      </c>
      <c r="M38" s="37">
        <f t="shared" si="0"/>
        <v>0.13787307870499488</v>
      </c>
      <c r="N38" s="26"/>
    </row>
    <row r="39" spans="1:14" x14ac:dyDescent="0.3">
      <c r="A39" s="53" t="s">
        <v>131</v>
      </c>
      <c r="B39" s="28">
        <f>'3-Statement'!D14</f>
        <v>7997</v>
      </c>
      <c r="C39" s="28">
        <f>'3-Statement'!E14</f>
        <v>8680.5723199999993</v>
      </c>
      <c r="D39" s="28">
        <f>'3-Statement'!F14</f>
        <v>9184.9190240978496</v>
      </c>
      <c r="E39" s="28">
        <f>'3-Statement'!G14</f>
        <v>9565.3514070077836</v>
      </c>
      <c r="F39" s="28">
        <f>'3-Statement'!H14</f>
        <v>9957.4738304476268</v>
      </c>
      <c r="G39" s="64">
        <f>'3-Statement'!I14</f>
        <v>10313.175259802574</v>
      </c>
      <c r="H39" s="43">
        <v>14</v>
      </c>
      <c r="I39" s="38">
        <f t="shared" si="0"/>
        <v>9.1225781073360768E-3</v>
      </c>
      <c r="J39" s="38">
        <f t="shared" si="0"/>
        <v>3.7781464712787205E-2</v>
      </c>
      <c r="K39" s="38">
        <f t="shared" si="0"/>
        <v>6.3585120969878117E-2</v>
      </c>
      <c r="L39" s="38">
        <f t="shared" si="0"/>
        <v>8.710340144220341E-2</v>
      </c>
      <c r="M39" s="39">
        <f t="shared" si="0"/>
        <v>0.10874674329421863</v>
      </c>
      <c r="N39" s="26"/>
    </row>
    <row r="40" spans="1:14" x14ac:dyDescent="0.3">
      <c r="A40" s="54" t="s">
        <v>226</v>
      </c>
      <c r="B40" s="67">
        <f t="shared" ref="B40:G40" si="2">B39/B35</f>
        <v>0.20060706401766004</v>
      </c>
      <c r="C40" s="67">
        <f t="shared" si="2"/>
        <v>0.20350904101984127</v>
      </c>
      <c r="D40" s="67">
        <f t="shared" si="2"/>
        <v>0.20314438125285131</v>
      </c>
      <c r="E40" s="67">
        <f t="shared" si="2"/>
        <v>0.20052935310048084</v>
      </c>
      <c r="F40" s="67">
        <f t="shared" si="2"/>
        <v>0.19880939233517694</v>
      </c>
      <c r="G40" s="68">
        <f t="shared" si="2"/>
        <v>0.19704427982114014</v>
      </c>
      <c r="H40" s="26"/>
      <c r="I40" s="26"/>
      <c r="J40" s="26"/>
      <c r="K40" s="26"/>
      <c r="L40" s="26"/>
      <c r="M40" s="26"/>
      <c r="N40" s="26"/>
    </row>
    <row r="41" spans="1:14" x14ac:dyDescent="0.3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</row>
    <row r="42" spans="1:14" x14ac:dyDescent="0.3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  <row r="43" spans="1:14" x14ac:dyDescent="0.3">
      <c r="A43" s="76" t="s">
        <v>328</v>
      </c>
      <c r="B43" s="76"/>
      <c r="C43" s="76"/>
      <c r="D43" s="76"/>
      <c r="E43" s="76"/>
      <c r="F43" s="76"/>
      <c r="G43" s="76"/>
      <c r="H43" s="26"/>
      <c r="I43" s="26"/>
      <c r="J43" s="26"/>
      <c r="K43" s="26"/>
      <c r="L43" s="26"/>
      <c r="M43" s="26"/>
      <c r="N43" s="26"/>
    </row>
    <row r="44" spans="1:14" x14ac:dyDescent="0.3">
      <c r="A44" s="51" t="s">
        <v>50</v>
      </c>
      <c r="B44" s="52" t="s">
        <v>329</v>
      </c>
      <c r="C44" s="52" t="s">
        <v>1</v>
      </c>
      <c r="D44" s="52" t="s">
        <v>2</v>
      </c>
      <c r="E44" s="52" t="s">
        <v>3</v>
      </c>
      <c r="F44" s="52" t="s">
        <v>4</v>
      </c>
      <c r="G44" s="63" t="s">
        <v>5</v>
      </c>
      <c r="H44" s="26"/>
      <c r="I44" s="26"/>
      <c r="J44" s="26"/>
      <c r="K44" s="26"/>
      <c r="L44" s="26"/>
      <c r="M44" s="26"/>
      <c r="N44" s="26"/>
    </row>
    <row r="45" spans="1:14" x14ac:dyDescent="0.3">
      <c r="A45" s="53" t="s">
        <v>129</v>
      </c>
      <c r="B45" s="27"/>
      <c r="C45" s="28">
        <f>C36</f>
        <v>12113.87232</v>
      </c>
      <c r="D45" s="28">
        <f>D36</f>
        <v>12885.918408000001</v>
      </c>
      <c r="E45" s="28">
        <f>E36</f>
        <v>13546.943415456002</v>
      </c>
      <c r="F45" s="28">
        <f>F36</f>
        <v>14224.290586228801</v>
      </c>
      <c r="G45" s="64">
        <f>G36</f>
        <v>14864.383662609096</v>
      </c>
      <c r="H45" s="26"/>
      <c r="I45" s="26"/>
      <c r="J45" s="26"/>
      <c r="K45" s="26"/>
      <c r="L45" s="26"/>
      <c r="M45" s="26"/>
      <c r="N45" s="26"/>
    </row>
    <row r="46" spans="1:14" x14ac:dyDescent="0.3">
      <c r="A46" s="53" t="s">
        <v>330</v>
      </c>
      <c r="B46" s="27"/>
      <c r="C46" s="29">
        <f>C71</f>
        <v>2253.4</v>
      </c>
      <c r="D46" s="29">
        <f>D71</f>
        <v>2131.1707949213774</v>
      </c>
      <c r="E46" s="29">
        <f>E71</f>
        <v>1982.9781748415412</v>
      </c>
      <c r="F46" s="29">
        <f>F71</f>
        <v>1813.9801075632342</v>
      </c>
      <c r="G46" s="69">
        <f>G71</f>
        <v>1622.8877148837637</v>
      </c>
      <c r="H46" s="26"/>
      <c r="I46" s="26"/>
      <c r="J46" s="26"/>
      <c r="K46" s="26"/>
      <c r="L46" s="26"/>
      <c r="M46" s="26"/>
      <c r="N46" s="26"/>
    </row>
    <row r="47" spans="1:14" x14ac:dyDescent="0.3">
      <c r="A47" s="53" t="s">
        <v>331</v>
      </c>
      <c r="B47" s="27"/>
      <c r="C47" s="29">
        <f>C75</f>
        <v>1690.05</v>
      </c>
      <c r="D47" s="29">
        <f>D75</f>
        <v>1690.05</v>
      </c>
      <c r="E47" s="29">
        <f>E75</f>
        <v>1690.05</v>
      </c>
      <c r="F47" s="29">
        <f>F75</f>
        <v>1690.05</v>
      </c>
      <c r="G47" s="69">
        <f>G75</f>
        <v>1690.05</v>
      </c>
      <c r="H47" s="26"/>
      <c r="I47" s="26"/>
      <c r="J47" s="26"/>
      <c r="K47" s="26"/>
      <c r="L47" s="26"/>
      <c r="M47" s="26"/>
      <c r="N47" s="26"/>
    </row>
    <row r="48" spans="1:14" x14ac:dyDescent="0.3">
      <c r="A48" s="53" t="s">
        <v>332</v>
      </c>
      <c r="B48" s="27"/>
      <c r="C48" s="28">
        <f>'3-Statement'!E82</f>
        <v>230.05</v>
      </c>
      <c r="D48" s="28">
        <f>'3-Statement'!F82</f>
        <v>243.85300000000004</v>
      </c>
      <c r="E48" s="28">
        <f>'3-Statement'!G82</f>
        <v>257.26491500000003</v>
      </c>
      <c r="F48" s="28">
        <f>'3-Statement'!H82</f>
        <v>270.12816075000006</v>
      </c>
      <c r="G48" s="64">
        <f>'3-Statement'!I82</f>
        <v>282.28392798375006</v>
      </c>
      <c r="H48" s="26"/>
      <c r="I48" s="26"/>
      <c r="J48" s="26"/>
      <c r="K48" s="26"/>
      <c r="L48" s="26"/>
      <c r="M48" s="26"/>
      <c r="N48" s="26"/>
    </row>
    <row r="49" spans="1:14" x14ac:dyDescent="0.3">
      <c r="A49" s="58" t="s">
        <v>333</v>
      </c>
      <c r="B49" s="48"/>
      <c r="C49" s="44">
        <f>SUM(C46:C48)</f>
        <v>4173.5</v>
      </c>
      <c r="D49" s="44">
        <f>SUM(D46:D48)</f>
        <v>4065.0737949213772</v>
      </c>
      <c r="E49" s="44">
        <f>SUM(E46:E48)</f>
        <v>3930.2930898415411</v>
      </c>
      <c r="F49" s="44">
        <f>SUM(F46:F48)</f>
        <v>3774.1582683132342</v>
      </c>
      <c r="G49" s="65">
        <f>SUM(G46:G48)</f>
        <v>3595.2216428675138</v>
      </c>
      <c r="H49" s="26"/>
      <c r="I49" s="26"/>
      <c r="J49" s="26"/>
      <c r="K49" s="26"/>
      <c r="L49" s="26"/>
      <c r="M49" s="26"/>
      <c r="N49" s="26"/>
    </row>
    <row r="50" spans="1:14" x14ac:dyDescent="0.3">
      <c r="A50" s="53" t="s">
        <v>334</v>
      </c>
      <c r="B50" s="27"/>
      <c r="C50" s="29">
        <f>MAX(0,C39-C49)*$B$24</f>
        <v>1009.5841996799999</v>
      </c>
      <c r="D50" s="29">
        <f>MAX(0,D39-D49)*$B$24</f>
        <v>1146.8453313355299</v>
      </c>
      <c r="E50" s="29">
        <f>MAX(0,E39-E49)*$B$24</f>
        <v>1262.2530630452382</v>
      </c>
      <c r="F50" s="29">
        <f>MAX(0,F39-F49)*$B$24</f>
        <v>1385.0626859181039</v>
      </c>
      <c r="G50" s="69">
        <f>MAX(0,G39-G49)*$B$24</f>
        <v>1504.8216101934536</v>
      </c>
      <c r="H50" s="26"/>
      <c r="I50" s="26"/>
      <c r="J50" s="26"/>
      <c r="K50" s="26"/>
      <c r="L50" s="26"/>
      <c r="M50" s="26"/>
      <c r="N50" s="26"/>
    </row>
    <row r="51" spans="1:14" x14ac:dyDescent="0.3">
      <c r="A51" s="53" t="s">
        <v>202</v>
      </c>
      <c r="B51" s="27"/>
      <c r="C51" s="28">
        <f>-'3-Statement'!E95</f>
        <v>2147.7846390215209</v>
      </c>
      <c r="D51" s="28">
        <f>-'3-Statement'!F95</f>
        <v>2276.6517173628122</v>
      </c>
      <c r="E51" s="28">
        <f>-'3-Statement'!G95</f>
        <v>2401.8675618177667</v>
      </c>
      <c r="F51" s="28">
        <f>-'3-Statement'!H95</f>
        <v>2521.9609399086553</v>
      </c>
      <c r="G51" s="64">
        <f>-'3-Statement'!I95</f>
        <v>2635.4491822045447</v>
      </c>
      <c r="H51" s="26"/>
      <c r="I51" s="26"/>
      <c r="J51" s="26"/>
      <c r="K51" s="26"/>
      <c r="L51" s="26"/>
      <c r="M51" s="26"/>
      <c r="N51" s="26"/>
    </row>
    <row r="52" spans="1:14" x14ac:dyDescent="0.3">
      <c r="A52" s="53" t="s">
        <v>205</v>
      </c>
      <c r="B52" s="27"/>
      <c r="C52" s="28">
        <f>-'3-Statement'!E94</f>
        <v>555.33000000000004</v>
      </c>
      <c r="D52" s="28">
        <f>-'3-Statement'!F94</f>
        <v>588.64980000000014</v>
      </c>
      <c r="E52" s="28">
        <f>-'3-Statement'!G94</f>
        <v>621.02553900000009</v>
      </c>
      <c r="F52" s="28">
        <f>-'3-Statement'!H94</f>
        <v>652.07681595000008</v>
      </c>
      <c r="G52" s="64">
        <f>-'3-Statement'!I94</f>
        <v>681.42027266775006</v>
      </c>
      <c r="H52" s="26"/>
      <c r="I52" s="26"/>
      <c r="J52" s="26"/>
      <c r="K52" s="26"/>
      <c r="L52" s="26"/>
      <c r="M52" s="26"/>
      <c r="N52" s="26"/>
    </row>
    <row r="53" spans="1:14" x14ac:dyDescent="0.3">
      <c r="A53" s="53" t="s">
        <v>335</v>
      </c>
      <c r="B53" s="27"/>
      <c r="C53" s="28">
        <f>-'3-Statement'!E106</f>
        <v>1962.38</v>
      </c>
      <c r="D53" s="28">
        <f>-'3-Statement'!F106</f>
        <v>2080.1228000000001</v>
      </c>
      <c r="E53" s="28">
        <f>-'3-Statement'!G106</f>
        <v>2194.5295540000002</v>
      </c>
      <c r="F53" s="28">
        <f>-'3-Statement'!H106</f>
        <v>2304.2560317000002</v>
      </c>
      <c r="G53" s="64">
        <f>-'3-Statement'!I106</f>
        <v>2407.9475531265002</v>
      </c>
      <c r="H53" s="26"/>
      <c r="I53" s="26"/>
      <c r="J53" s="26"/>
      <c r="K53" s="26"/>
      <c r="L53" s="26"/>
      <c r="M53" s="26"/>
      <c r="N53" s="26"/>
    </row>
    <row r="54" spans="1:14" x14ac:dyDescent="0.3">
      <c r="A54" s="53" t="s">
        <v>211</v>
      </c>
      <c r="B54" s="27"/>
      <c r="C54" s="28">
        <f>'3-Statement'!E90</f>
        <v>179.29062027397367</v>
      </c>
      <c r="D54" s="28">
        <f>'3-Statement'!F90</f>
        <v>235.27743721643833</v>
      </c>
      <c r="E54" s="28">
        <f>'3-Statement'!G90</f>
        <v>242.9867378146846</v>
      </c>
      <c r="F54" s="28">
        <f>'3-Statement'!H90</f>
        <v>235.07200915060412</v>
      </c>
      <c r="G54" s="64">
        <f>'3-Statement'!I90</f>
        <v>208.55820620050577</v>
      </c>
      <c r="H54" s="26"/>
      <c r="I54" s="26"/>
      <c r="J54" s="26"/>
      <c r="K54" s="26"/>
      <c r="L54" s="26"/>
      <c r="M54" s="26"/>
      <c r="N54" s="26"/>
    </row>
    <row r="55" spans="1:14" x14ac:dyDescent="0.3">
      <c r="A55" s="58" t="s">
        <v>336</v>
      </c>
      <c r="B55" s="48"/>
      <c r="C55" s="44">
        <f>C45-C49-C50-C51-C52-C53+C54</f>
        <v>2444.5841015724532</v>
      </c>
      <c r="D55" s="44">
        <f>D45-D49-D50-D51-D52-D53+D54</f>
        <v>2963.8524015967214</v>
      </c>
      <c r="E55" s="44">
        <f>E45-E49-E50-E51-E52-E53+E54</f>
        <v>3379.9613455661397</v>
      </c>
      <c r="F55" s="44">
        <f>F45-F49-F50-F51-F52-F53+F54</f>
        <v>3821.8478535894119</v>
      </c>
      <c r="G55" s="65">
        <f>G45-G49-G50-G51-G52-G53+G54</f>
        <v>4248.0816077498393</v>
      </c>
      <c r="H55" s="26"/>
      <c r="I55" s="26"/>
      <c r="J55" s="26"/>
      <c r="K55" s="26"/>
      <c r="L55" s="26"/>
      <c r="M55" s="26"/>
      <c r="N55" s="26"/>
    </row>
    <row r="56" spans="1:14" x14ac:dyDescent="0.3">
      <c r="A56" s="53" t="s">
        <v>337</v>
      </c>
      <c r="B56" s="27"/>
      <c r="C56" s="29">
        <f>$B$14</f>
        <v>1000</v>
      </c>
      <c r="D56" s="29">
        <f>C61</f>
        <v>1000</v>
      </c>
      <c r="E56" s="29">
        <f>D61</f>
        <v>1000</v>
      </c>
      <c r="F56" s="29">
        <f>E61</f>
        <v>1000</v>
      </c>
      <c r="G56" s="69">
        <f>F61</f>
        <v>1000</v>
      </c>
      <c r="H56" s="26"/>
      <c r="I56" s="26"/>
      <c r="J56" s="26"/>
      <c r="K56" s="26"/>
      <c r="L56" s="26"/>
      <c r="M56" s="26"/>
      <c r="N56" s="26"/>
    </row>
    <row r="57" spans="1:14" x14ac:dyDescent="0.3">
      <c r="A57" s="53" t="s">
        <v>299</v>
      </c>
      <c r="B57" s="27"/>
      <c r="C57" s="29">
        <f>C68</f>
        <v>-2253.4</v>
      </c>
      <c r="D57" s="29">
        <f>D68</f>
        <v>-2253.4</v>
      </c>
      <c r="E57" s="29">
        <f>E68</f>
        <v>-2253.4</v>
      </c>
      <c r="F57" s="29">
        <f>F68</f>
        <v>-2253.4</v>
      </c>
      <c r="G57" s="69">
        <f>G68</f>
        <v>-2253.4</v>
      </c>
      <c r="H57" s="26"/>
      <c r="I57" s="26"/>
      <c r="J57" s="26"/>
      <c r="K57" s="26"/>
      <c r="L57" s="26"/>
      <c r="M57" s="26"/>
      <c r="N57" s="26"/>
    </row>
    <row r="58" spans="1:14" x14ac:dyDescent="0.3">
      <c r="A58" s="53" t="s">
        <v>338</v>
      </c>
      <c r="B58" s="27"/>
      <c r="C58" s="29">
        <f>-MIN(MAX(0,C67+C68),MAX(0,C56+C55+C57-$B$14)*$B$22)</f>
        <v>-191.18410157245307</v>
      </c>
      <c r="D58" s="29">
        <f>-MIN(MAX(0,D67+D68),MAX(0,D56+D55+D57-$B$14)*$B$22)</f>
        <v>-710.4524015967213</v>
      </c>
      <c r="E58" s="29">
        <f>-MIN(MAX(0,E67+E68),MAX(0,E56+E55+E57-$B$14)*$B$22)</f>
        <v>-1126.5613455661401</v>
      </c>
      <c r="F58" s="29">
        <f>-MIN(MAX(0,F67+F68),MAX(0,F56+F55+F57-$B$14)*$B$22)</f>
        <v>-1568.4478535894118</v>
      </c>
      <c r="G58" s="69">
        <f>-MIN(MAX(0,G67+G68),MAX(0,G56+G55+G57-$B$14)*$B$22)</f>
        <v>-1994.6816077498393</v>
      </c>
      <c r="H58" s="26"/>
      <c r="I58" s="26"/>
      <c r="J58" s="26"/>
      <c r="K58" s="26"/>
      <c r="L58" s="26"/>
      <c r="M58" s="26"/>
      <c r="N58" s="26"/>
    </row>
    <row r="59" spans="1:14" x14ac:dyDescent="0.3">
      <c r="A59" s="53" t="s">
        <v>339</v>
      </c>
      <c r="B59" s="27"/>
      <c r="C59" s="29">
        <f>-MIN(C72,MAX(0,MAX(0,C56+C55+C57-$B$14)*$B$22+C58))</f>
        <v>0</v>
      </c>
      <c r="D59" s="29">
        <f>-MIN(D72,MAX(0,MAX(0,D56+D55+D57-$B$14)*$B$22+D58))</f>
        <v>0</v>
      </c>
      <c r="E59" s="29">
        <f>-MIN(E72,MAX(0,MAX(0,E56+E55+E57-$B$14)*$B$22+E58))</f>
        <v>0</v>
      </c>
      <c r="F59" s="29">
        <f>-MIN(F72,MAX(0,MAX(0,F56+F55+F57-$B$14)*$B$22+F58))</f>
        <v>0</v>
      </c>
      <c r="G59" s="69">
        <f>-MIN(G72,MAX(0,MAX(0,G56+G55+G57-$B$14)*$B$22+G58))</f>
        <v>0</v>
      </c>
      <c r="H59" s="26"/>
      <c r="I59" s="26"/>
      <c r="J59" s="26"/>
      <c r="K59" s="26"/>
      <c r="L59" s="26"/>
      <c r="M59" s="26"/>
      <c r="N59" s="26"/>
    </row>
    <row r="60" spans="1:14" x14ac:dyDescent="0.3">
      <c r="A60" s="58" t="s">
        <v>340</v>
      </c>
      <c r="B60" s="48"/>
      <c r="C60" s="44">
        <f>SUM(C57:C59)</f>
        <v>-2444.5841015724532</v>
      </c>
      <c r="D60" s="44">
        <f>SUM(D57:D59)</f>
        <v>-2963.8524015967214</v>
      </c>
      <c r="E60" s="44">
        <f>SUM(E57:E59)</f>
        <v>-3379.9613455661402</v>
      </c>
      <c r="F60" s="44">
        <f>SUM(F57:F59)</f>
        <v>-3821.8478535894119</v>
      </c>
      <c r="G60" s="65">
        <f>SUM(G57:G59)</f>
        <v>-4248.0816077498393</v>
      </c>
      <c r="H60" s="26"/>
      <c r="I60" s="26"/>
      <c r="J60" s="26"/>
      <c r="K60" s="26"/>
      <c r="L60" s="26"/>
      <c r="M60" s="26"/>
      <c r="N60" s="26"/>
    </row>
    <row r="61" spans="1:14" x14ac:dyDescent="0.3">
      <c r="A61" s="54" t="s">
        <v>307</v>
      </c>
      <c r="B61" s="70"/>
      <c r="C61" s="71">
        <f>C56+C55+C60</f>
        <v>1000</v>
      </c>
      <c r="D61" s="71">
        <f>D56+D55+D60</f>
        <v>1000</v>
      </c>
      <c r="E61" s="71">
        <f>E56+E55+E60</f>
        <v>1000</v>
      </c>
      <c r="F61" s="71">
        <f>F56+F55+F60</f>
        <v>1000</v>
      </c>
      <c r="G61" s="72">
        <f>G56+G55+G60</f>
        <v>1000</v>
      </c>
      <c r="H61" s="26"/>
      <c r="I61" s="26"/>
      <c r="J61" s="26"/>
      <c r="K61" s="26"/>
      <c r="L61" s="26"/>
      <c r="M61" s="26"/>
      <c r="N61" s="26"/>
    </row>
    <row r="62" spans="1:14" x14ac:dyDescent="0.3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</row>
    <row r="63" spans="1:14" x14ac:dyDescent="0.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</row>
    <row r="64" spans="1:14" x14ac:dyDescent="0.3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</row>
    <row r="65" spans="1:14" x14ac:dyDescent="0.3">
      <c r="A65" s="76" t="s">
        <v>341</v>
      </c>
      <c r="B65" s="76"/>
      <c r="C65" s="76"/>
      <c r="D65" s="76"/>
      <c r="E65" s="76"/>
      <c r="F65" s="76"/>
      <c r="G65" s="76"/>
      <c r="H65" s="26"/>
      <c r="I65" s="26"/>
      <c r="J65" s="26"/>
      <c r="K65" s="26"/>
      <c r="L65" s="26"/>
      <c r="M65" s="26"/>
      <c r="N65" s="26"/>
    </row>
    <row r="66" spans="1:14" x14ac:dyDescent="0.3">
      <c r="A66" s="51" t="s">
        <v>50</v>
      </c>
      <c r="B66" s="52" t="s">
        <v>329</v>
      </c>
      <c r="C66" s="52" t="s">
        <v>1</v>
      </c>
      <c r="D66" s="52" t="s">
        <v>2</v>
      </c>
      <c r="E66" s="52" t="s">
        <v>3</v>
      </c>
      <c r="F66" s="52" t="s">
        <v>4</v>
      </c>
      <c r="G66" s="63" t="s">
        <v>5</v>
      </c>
      <c r="H66" s="26"/>
      <c r="I66" s="26"/>
      <c r="J66" s="26"/>
      <c r="K66" s="26"/>
      <c r="L66" s="26"/>
      <c r="M66" s="26"/>
      <c r="N66" s="26"/>
    </row>
    <row r="67" spans="1:14" x14ac:dyDescent="0.3">
      <c r="A67" s="53" t="s">
        <v>342</v>
      </c>
      <c r="B67" s="27"/>
      <c r="C67" s="29">
        <f>$I$11</f>
        <v>45068</v>
      </c>
      <c r="D67" s="29">
        <f>C70</f>
        <v>42623.415898427542</v>
      </c>
      <c r="E67" s="29">
        <f>D70</f>
        <v>39659.563496830822</v>
      </c>
      <c r="F67" s="29">
        <f>E70</f>
        <v>36279.602151264684</v>
      </c>
      <c r="G67" s="69">
        <f>F70</f>
        <v>32457.75429767527</v>
      </c>
      <c r="H67" s="26"/>
      <c r="I67" s="26"/>
      <c r="J67" s="26"/>
      <c r="K67" s="26"/>
      <c r="L67" s="26"/>
      <c r="M67" s="26"/>
      <c r="N67" s="26"/>
    </row>
    <row r="68" spans="1:14" x14ac:dyDescent="0.3">
      <c r="A68" s="53" t="s">
        <v>343</v>
      </c>
      <c r="B68" s="27"/>
      <c r="C68" s="29">
        <f>-MIN(C67,$I$11*$B$21)</f>
        <v>-2253.4</v>
      </c>
      <c r="D68" s="29">
        <f>-MIN(D67,$I$11*$B$21)</f>
        <v>-2253.4</v>
      </c>
      <c r="E68" s="29">
        <f>-MIN(E67,$I$11*$B$21)</f>
        <v>-2253.4</v>
      </c>
      <c r="F68" s="29">
        <f>-MIN(F67,$I$11*$B$21)</f>
        <v>-2253.4</v>
      </c>
      <c r="G68" s="69">
        <f>-MIN(G67,$I$11*$B$21)</f>
        <v>-2253.4</v>
      </c>
      <c r="H68" s="26"/>
      <c r="I68" s="26"/>
      <c r="J68" s="26"/>
      <c r="K68" s="26"/>
      <c r="L68" s="26"/>
      <c r="M68" s="26"/>
      <c r="N68" s="26"/>
    </row>
    <row r="69" spans="1:14" x14ac:dyDescent="0.3">
      <c r="A69" s="53" t="s">
        <v>344</v>
      </c>
      <c r="B69" s="27"/>
      <c r="C69" s="29">
        <f>C58</f>
        <v>-191.18410157245307</v>
      </c>
      <c r="D69" s="29">
        <f>D58</f>
        <v>-710.4524015967213</v>
      </c>
      <c r="E69" s="29">
        <f>E58</f>
        <v>-1126.5613455661401</v>
      </c>
      <c r="F69" s="29">
        <f>F58</f>
        <v>-1568.4478535894118</v>
      </c>
      <c r="G69" s="69">
        <f>G58</f>
        <v>-1994.6816077498393</v>
      </c>
      <c r="H69" s="26"/>
      <c r="I69" s="26"/>
      <c r="J69" s="26"/>
      <c r="K69" s="26"/>
      <c r="L69" s="26"/>
      <c r="M69" s="26"/>
      <c r="N69" s="26"/>
    </row>
    <row r="70" spans="1:14" x14ac:dyDescent="0.3">
      <c r="A70" s="58" t="s">
        <v>345</v>
      </c>
      <c r="B70" s="44">
        <f>I11</f>
        <v>45068</v>
      </c>
      <c r="C70" s="44">
        <f>SUM(C67:C69)</f>
        <v>42623.415898427542</v>
      </c>
      <c r="D70" s="44">
        <f>SUM(D67:D69)</f>
        <v>39659.563496830822</v>
      </c>
      <c r="E70" s="44">
        <f>SUM(E67:E69)</f>
        <v>36279.602151264684</v>
      </c>
      <c r="F70" s="44">
        <f>SUM(F67:F69)</f>
        <v>32457.75429767527</v>
      </c>
      <c r="G70" s="65">
        <f>SUM(G67:G69)</f>
        <v>28209.672689925428</v>
      </c>
      <c r="H70" s="26"/>
      <c r="I70" s="26"/>
      <c r="J70" s="26"/>
      <c r="K70" s="26"/>
      <c r="L70" s="26"/>
      <c r="M70" s="26"/>
      <c r="N70" s="26"/>
    </row>
    <row r="71" spans="1:14" x14ac:dyDescent="0.3">
      <c r="A71" s="53" t="s">
        <v>346</v>
      </c>
      <c r="B71" s="27"/>
      <c r="C71" s="29">
        <f>C67*$B$19</f>
        <v>2253.4</v>
      </c>
      <c r="D71" s="29">
        <f>D67*$B$19</f>
        <v>2131.1707949213774</v>
      </c>
      <c r="E71" s="29">
        <f>E67*$B$19</f>
        <v>1982.9781748415412</v>
      </c>
      <c r="F71" s="29">
        <f>F67*$B$19</f>
        <v>1813.9801075632342</v>
      </c>
      <c r="G71" s="69">
        <f>G67*$B$19</f>
        <v>1622.8877148837637</v>
      </c>
      <c r="H71" s="26"/>
      <c r="I71" s="26"/>
      <c r="J71" s="26"/>
      <c r="K71" s="26"/>
      <c r="L71" s="26"/>
      <c r="M71" s="26"/>
      <c r="N71" s="26"/>
    </row>
    <row r="72" spans="1:14" x14ac:dyDescent="0.3">
      <c r="A72" s="53" t="s">
        <v>347</v>
      </c>
      <c r="B72" s="27"/>
      <c r="C72" s="29">
        <f>$I$12</f>
        <v>22534</v>
      </c>
      <c r="D72" s="29">
        <f>C74</f>
        <v>22534</v>
      </c>
      <c r="E72" s="29">
        <f>D74</f>
        <v>22534</v>
      </c>
      <c r="F72" s="29">
        <f>E74</f>
        <v>22534</v>
      </c>
      <c r="G72" s="69">
        <f>F74</f>
        <v>22534</v>
      </c>
      <c r="H72" s="26"/>
      <c r="I72" s="26"/>
      <c r="J72" s="26"/>
      <c r="K72" s="26"/>
      <c r="L72" s="26"/>
      <c r="M72" s="26"/>
      <c r="N72" s="26"/>
    </row>
    <row r="73" spans="1:14" x14ac:dyDescent="0.3">
      <c r="A73" s="53" t="s">
        <v>348</v>
      </c>
      <c r="B73" s="27"/>
      <c r="C73" s="29">
        <f>C59</f>
        <v>0</v>
      </c>
      <c r="D73" s="29">
        <f>D59</f>
        <v>0</v>
      </c>
      <c r="E73" s="29">
        <f>E59</f>
        <v>0</v>
      </c>
      <c r="F73" s="29">
        <f>F59</f>
        <v>0</v>
      </c>
      <c r="G73" s="69">
        <f>G59</f>
        <v>0</v>
      </c>
      <c r="H73" s="26"/>
      <c r="I73" s="26"/>
      <c r="J73" s="26"/>
      <c r="K73" s="26"/>
      <c r="L73" s="26"/>
      <c r="M73" s="26"/>
      <c r="N73" s="26"/>
    </row>
    <row r="74" spans="1:14" x14ac:dyDescent="0.3">
      <c r="A74" s="58" t="s">
        <v>349</v>
      </c>
      <c r="B74" s="44">
        <f>I12</f>
        <v>22534</v>
      </c>
      <c r="C74" s="44">
        <f>SUM(C72:C73)</f>
        <v>22534</v>
      </c>
      <c r="D74" s="44">
        <f>SUM(D72:D73)</f>
        <v>22534</v>
      </c>
      <c r="E74" s="44">
        <f>SUM(E72:E73)</f>
        <v>22534</v>
      </c>
      <c r="F74" s="44">
        <f>SUM(F72:F73)</f>
        <v>22534</v>
      </c>
      <c r="G74" s="65">
        <f>SUM(G72:G73)</f>
        <v>22534</v>
      </c>
      <c r="H74" s="26"/>
      <c r="I74" s="26"/>
      <c r="J74" s="26"/>
      <c r="K74" s="26"/>
      <c r="L74" s="26"/>
      <c r="M74" s="26"/>
      <c r="N74" s="26"/>
    </row>
    <row r="75" spans="1:14" x14ac:dyDescent="0.3">
      <c r="A75" s="53" t="s">
        <v>350</v>
      </c>
      <c r="B75" s="27"/>
      <c r="C75" s="29">
        <f>C72*$B$20</f>
        <v>1690.05</v>
      </c>
      <c r="D75" s="29">
        <f>D72*$B$20</f>
        <v>1690.05</v>
      </c>
      <c r="E75" s="29">
        <f>E72*$B$20</f>
        <v>1690.05</v>
      </c>
      <c r="F75" s="29">
        <f>F72*$B$20</f>
        <v>1690.05</v>
      </c>
      <c r="G75" s="69">
        <f>G72*$B$20</f>
        <v>1690.05</v>
      </c>
      <c r="H75" s="26"/>
      <c r="I75" s="26"/>
      <c r="J75" s="26"/>
      <c r="K75" s="26"/>
      <c r="L75" s="26"/>
      <c r="M75" s="26"/>
      <c r="N75" s="26"/>
    </row>
    <row r="76" spans="1:14" x14ac:dyDescent="0.3">
      <c r="A76" s="53" t="s">
        <v>351</v>
      </c>
      <c r="B76" s="27"/>
      <c r="C76" s="29">
        <f>SUM(C67,C72)</f>
        <v>67602</v>
      </c>
      <c r="D76" s="29">
        <f>SUM(D67,D72)</f>
        <v>65157.415898427542</v>
      </c>
      <c r="E76" s="29">
        <f>SUM(E67,E72)</f>
        <v>62193.563496830822</v>
      </c>
      <c r="F76" s="29">
        <f>SUM(F67,F72)</f>
        <v>58813.602151264684</v>
      </c>
      <c r="G76" s="69">
        <f>SUM(G67,G72)</f>
        <v>54991.754297675274</v>
      </c>
      <c r="H76" s="26"/>
      <c r="I76" s="26"/>
      <c r="J76" s="26"/>
      <c r="K76" s="26"/>
      <c r="L76" s="26"/>
      <c r="M76" s="26"/>
      <c r="N76" s="26"/>
    </row>
    <row r="77" spans="1:14" x14ac:dyDescent="0.3">
      <c r="A77" s="58" t="s">
        <v>352</v>
      </c>
      <c r="B77" s="44">
        <f t="shared" ref="B77:G77" si="3">SUM(B70,B74)</f>
        <v>67602</v>
      </c>
      <c r="C77" s="44">
        <f t="shared" si="3"/>
        <v>65157.415898427542</v>
      </c>
      <c r="D77" s="44">
        <f t="shared" si="3"/>
        <v>62193.563496830822</v>
      </c>
      <c r="E77" s="44">
        <f t="shared" si="3"/>
        <v>58813.602151264684</v>
      </c>
      <c r="F77" s="44">
        <f t="shared" si="3"/>
        <v>54991.754297675274</v>
      </c>
      <c r="G77" s="65">
        <f t="shared" si="3"/>
        <v>50743.672689925428</v>
      </c>
      <c r="H77" s="26"/>
      <c r="I77" s="26"/>
      <c r="J77" s="26"/>
      <c r="K77" s="26"/>
      <c r="L77" s="26"/>
      <c r="M77" s="26"/>
      <c r="N77" s="26"/>
    </row>
    <row r="78" spans="1:14" x14ac:dyDescent="0.3">
      <c r="A78" s="58" t="s">
        <v>333</v>
      </c>
      <c r="B78" s="48"/>
      <c r="C78" s="44">
        <f>SUM(C71,C75,C48)</f>
        <v>4173.5</v>
      </c>
      <c r="D78" s="44">
        <f>SUM(D71,D75,D48)</f>
        <v>4065.0737949213772</v>
      </c>
      <c r="E78" s="44">
        <f>SUM(E71,E75,E48)</f>
        <v>3930.2930898415411</v>
      </c>
      <c r="F78" s="44">
        <f>SUM(F71,F75,F48)</f>
        <v>3774.1582683132342</v>
      </c>
      <c r="G78" s="65">
        <f>SUM(G71,G75,G48)</f>
        <v>3595.2216428675138</v>
      </c>
      <c r="H78" s="26"/>
      <c r="I78" s="26"/>
      <c r="J78" s="26"/>
      <c r="K78" s="26"/>
      <c r="L78" s="26"/>
      <c r="M78" s="26"/>
      <c r="N78" s="26"/>
    </row>
    <row r="79" spans="1:14" x14ac:dyDescent="0.3">
      <c r="A79" s="54" t="s">
        <v>353</v>
      </c>
      <c r="B79" s="70"/>
      <c r="C79" s="71">
        <f>C78-C49</f>
        <v>0</v>
      </c>
      <c r="D79" s="71">
        <f>D78-D49</f>
        <v>0</v>
      </c>
      <c r="E79" s="71">
        <f>E78-E49</f>
        <v>0</v>
      </c>
      <c r="F79" s="71">
        <f>F78-F49</f>
        <v>0</v>
      </c>
      <c r="G79" s="72">
        <f>G78-G49</f>
        <v>0</v>
      </c>
      <c r="H79" s="26"/>
      <c r="I79" s="26"/>
      <c r="J79" s="26"/>
      <c r="K79" s="26"/>
      <c r="L79" s="26"/>
      <c r="M79" s="26"/>
      <c r="N79" s="26"/>
    </row>
    <row r="80" spans="1:14" x14ac:dyDescent="0.3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</row>
    <row r="81" spans="1:14" x14ac:dyDescent="0.3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</row>
    <row r="82" spans="1:14" ht="27.15" customHeight="1" x14ac:dyDescent="0.3">
      <c r="A82" s="83" t="s">
        <v>354</v>
      </c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</row>
    <row r="83" spans="1:14" x14ac:dyDescent="0.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</row>
    <row r="84" spans="1:14" ht="24" customHeight="1" x14ac:dyDescent="0.3">
      <c r="A84" s="83" t="s">
        <v>355</v>
      </c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</row>
    <row r="85" spans="1:14" x14ac:dyDescent="0.3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6" spans="1:14" x14ac:dyDescent="0.3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</row>
    <row r="87" spans="1:14" x14ac:dyDescent="0.3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</row>
    <row r="88" spans="1:14" x14ac:dyDescent="0.3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</row>
    <row r="89" spans="1:14" x14ac:dyDescent="0.3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</row>
    <row r="90" spans="1:14" x14ac:dyDescent="0.3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</row>
  </sheetData>
  <mergeCells count="32">
    <mergeCell ref="C25:G25"/>
    <mergeCell ref="C20:G20"/>
    <mergeCell ref="C21:G21"/>
    <mergeCell ref="C22:G22"/>
    <mergeCell ref="C23:G23"/>
    <mergeCell ref="C24:G24"/>
    <mergeCell ref="C15:G15"/>
    <mergeCell ref="C16:G16"/>
    <mergeCell ref="C17:G17"/>
    <mergeCell ref="C18:G18"/>
    <mergeCell ref="C19:G19"/>
    <mergeCell ref="A43:G43"/>
    <mergeCell ref="A65:G65"/>
    <mergeCell ref="H33:M33"/>
    <mergeCell ref="A82:N82"/>
    <mergeCell ref="A84:N84"/>
    <mergeCell ref="A1:N1"/>
    <mergeCell ref="A2:N2"/>
    <mergeCell ref="H4:J4"/>
    <mergeCell ref="H18:J18"/>
    <mergeCell ref="A33:G33"/>
    <mergeCell ref="A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</mergeCells>
  <conditionalFormatting sqref="I35:M39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  <cfRule type="colorScale" priority="2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Historical Data</vt:lpstr>
      <vt:lpstr>3-Statement</vt:lpstr>
      <vt:lpstr>Supporting Schedules</vt:lpstr>
      <vt:lpstr>DCF</vt:lpstr>
      <vt:lpstr>LBO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Romero Arriero</cp:lastModifiedBy>
  <dcterms:created xsi:type="dcterms:W3CDTF">2026-10-01T18:16:25Z</dcterms:created>
  <dcterms:modified xsi:type="dcterms:W3CDTF">2026-10-01T18:58:57Z</dcterms:modified>
</cp:coreProperties>
</file>